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20490" windowHeight="7050" firstSheet="15" activeTab="1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logical ftn" sheetId="6" r:id="rId6"/>
    <sheet name="AND OR FTN" sheetId="7" r:id="rId7"/>
    <sheet name="SORT AND FILTER" sheetId="8" r:id="rId8"/>
    <sheet name="V_LOOKUP" sheetId="10" r:id="rId9"/>
    <sheet name="V_LOOKUP 2" sheetId="11" r:id="rId10"/>
    <sheet name="V_LOOKUP WITH MATCH" sheetId="12" r:id="rId11"/>
    <sheet name="MATCH AND INDEX" sheetId="13" r:id="rId12"/>
    <sheet name="STATISTICAL FORMULAS" sheetId="16" r:id="rId13"/>
    <sheet name="date formulas" sheetId="17" r:id="rId14"/>
    <sheet name="date 2" sheetId="18" r:id="rId15"/>
    <sheet name="NETWORK DAYS" sheetId="19" r:id="rId16"/>
    <sheet name="PIVOT TABLE 2" sheetId="21" r:id="rId17"/>
    <sheet name="PIVOT TABLE 3" sheetId="22" r:id="rId18"/>
    <sheet name="PIVOT TABLE 1" sheetId="20" r:id="rId19"/>
  </sheets>
  <definedNames>
    <definedName name="_xlnm._FilterDatabase" localSheetId="7" hidden="1">'SORT AND FILTER'!$A$1:$H$14</definedName>
    <definedName name="EMP_TYPE">'V_LOOKUP 2'!$I$4:$J$10</definedName>
    <definedName name="NativeTimeline_SALE_DATE">#N/A</definedName>
  </definedNames>
  <calcPr calcId="162913"/>
  <pivotCaches>
    <pivotCache cacheId="0" r:id="rId2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1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9" l="1"/>
  <c r="D10" i="17"/>
  <c r="D11" i="17"/>
  <c r="D12" i="17"/>
  <c r="D13" i="17"/>
  <c r="D14" i="17"/>
  <c r="E14" i="18"/>
  <c r="E3" i="18" l="1"/>
  <c r="E4" i="18"/>
  <c r="E5" i="18"/>
  <c r="E6" i="18"/>
  <c r="E7" i="18"/>
  <c r="E2" i="18"/>
  <c r="E3" i="17"/>
  <c r="E4" i="17"/>
  <c r="E5" i="17"/>
  <c r="E6" i="17"/>
  <c r="E2" i="17"/>
  <c r="C3" i="17" l="1"/>
  <c r="C4" i="17"/>
  <c r="C5" i="17"/>
  <c r="C6" i="17"/>
  <c r="C7" i="17"/>
  <c r="C2" i="17"/>
  <c r="R36" i="16" l="1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35" i="16"/>
  <c r="M34" i="16" l="1"/>
  <c r="M35" i="16"/>
  <c r="M33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M23" i="16"/>
  <c r="N23" i="16"/>
  <c r="O23" i="16"/>
  <c r="P23" i="16"/>
  <c r="Q23" i="16"/>
  <c r="R23" i="16"/>
  <c r="S23" i="16"/>
  <c r="T23" i="16"/>
  <c r="U23" i="16"/>
  <c r="V23" i="16"/>
  <c r="W23" i="16"/>
  <c r="X23" i="16"/>
  <c r="M24" i="16"/>
  <c r="N24" i="16"/>
  <c r="O24" i="16"/>
  <c r="P24" i="16"/>
  <c r="Q24" i="16"/>
  <c r="R24" i="16"/>
  <c r="S24" i="16"/>
  <c r="T24" i="16"/>
  <c r="U24" i="16"/>
  <c r="V24" i="16"/>
  <c r="W24" i="16"/>
  <c r="X24" i="16"/>
  <c r="M25" i="16"/>
  <c r="N25" i="16"/>
  <c r="O25" i="16"/>
  <c r="P25" i="16"/>
  <c r="Q25" i="16"/>
  <c r="R25" i="16"/>
  <c r="S25" i="16"/>
  <c r="T25" i="16"/>
  <c r="U25" i="16"/>
  <c r="V25" i="16"/>
  <c r="W25" i="16"/>
  <c r="X25" i="16"/>
  <c r="M26" i="16"/>
  <c r="N26" i="16"/>
  <c r="O26" i="16"/>
  <c r="P26" i="16"/>
  <c r="Q26" i="16"/>
  <c r="R26" i="16"/>
  <c r="S26" i="16"/>
  <c r="T26" i="16"/>
  <c r="U26" i="16"/>
  <c r="V26" i="16"/>
  <c r="W26" i="16"/>
  <c r="X26" i="16"/>
  <c r="M27" i="16"/>
  <c r="N27" i="16"/>
  <c r="O27" i="16"/>
  <c r="P27" i="16"/>
  <c r="Q27" i="16"/>
  <c r="R27" i="16"/>
  <c r="S27" i="16"/>
  <c r="T27" i="16"/>
  <c r="U27" i="16"/>
  <c r="V27" i="16"/>
  <c r="W27" i="16"/>
  <c r="X27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N19" i="16"/>
  <c r="O19" i="16"/>
  <c r="P19" i="16"/>
  <c r="Q19" i="16"/>
  <c r="R19" i="16"/>
  <c r="S19" i="16"/>
  <c r="T19" i="16"/>
  <c r="U19" i="16"/>
  <c r="V19" i="16"/>
  <c r="W19" i="16"/>
  <c r="X19" i="16"/>
  <c r="M19" i="16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" i="16"/>
  <c r="C11" i="13" l="1"/>
  <c r="C15" i="13" l="1"/>
  <c r="D14" i="13" s="1"/>
  <c r="C14" i="13"/>
  <c r="H13" i="12"/>
  <c r="I10" i="12"/>
  <c r="I6" i="12"/>
  <c r="I5" i="12"/>
  <c r="H8" i="12"/>
  <c r="I6" i="10" l="1"/>
  <c r="I8" i="10"/>
  <c r="I5" i="10"/>
  <c r="K5" i="10"/>
  <c r="I7" i="10" l="1"/>
  <c r="I6" i="8"/>
  <c r="F3" i="7" l="1"/>
  <c r="F4" i="7"/>
  <c r="F5" i="7"/>
  <c r="F6" i="7"/>
  <c r="F7" i="7"/>
  <c r="F8" i="7"/>
  <c r="F9" i="7"/>
  <c r="F10" i="7"/>
  <c r="F11" i="7"/>
  <c r="F12" i="7"/>
  <c r="F2" i="7"/>
  <c r="G4" i="7"/>
  <c r="E3" i="7"/>
  <c r="E4" i="7"/>
  <c r="E5" i="7"/>
  <c r="E6" i="7"/>
  <c r="E7" i="7"/>
  <c r="E8" i="7"/>
  <c r="E9" i="7"/>
  <c r="E10" i="7"/>
  <c r="E11" i="7"/>
  <c r="E12" i="7"/>
  <c r="E2" i="7"/>
  <c r="D12" i="7" l="1"/>
  <c r="D3" i="7"/>
  <c r="D4" i="7"/>
  <c r="D5" i="7"/>
  <c r="D6" i="7"/>
  <c r="D7" i="7"/>
  <c r="D8" i="7"/>
  <c r="D9" i="7"/>
  <c r="D10" i="7"/>
  <c r="D11" i="7"/>
  <c r="D2" i="7"/>
  <c r="D9" i="6" l="1"/>
  <c r="D10" i="6"/>
  <c r="D3" i="6"/>
  <c r="D4" i="6"/>
  <c r="D5" i="6"/>
  <c r="D7" i="6"/>
  <c r="D8" i="6"/>
  <c r="D2" i="6"/>
  <c r="F2" i="6" s="1"/>
  <c r="E8" i="6" l="1"/>
  <c r="F8" i="6"/>
  <c r="E3" i="6"/>
  <c r="F3" i="6"/>
  <c r="E4" i="6"/>
  <c r="F4" i="6"/>
  <c r="E7" i="6"/>
  <c r="F7" i="6"/>
  <c r="E6" i="6"/>
  <c r="F6" i="6"/>
  <c r="E10" i="6"/>
  <c r="F10" i="6"/>
  <c r="E5" i="6"/>
  <c r="F5" i="6"/>
  <c r="E9" i="6"/>
  <c r="F9" i="6"/>
  <c r="E2" i="6"/>
  <c r="I4" i="4"/>
  <c r="I5" i="4"/>
  <c r="I3" i="4"/>
  <c r="F3" i="4"/>
  <c r="F4" i="4"/>
  <c r="F2" i="4"/>
  <c r="E2" i="4"/>
  <c r="E3" i="4" l="1"/>
  <c r="E4" i="4"/>
  <c r="D3" i="4"/>
  <c r="D4" i="4"/>
  <c r="D2" i="4"/>
  <c r="E3" i="2" l="1"/>
  <c r="E4" i="2"/>
  <c r="E5" i="2"/>
  <c r="E6" i="2"/>
  <c r="E2" i="2"/>
  <c r="D3" i="2"/>
  <c r="D4" i="2"/>
  <c r="D5" i="2"/>
  <c r="D6" i="2"/>
  <c r="D2" i="2"/>
</calcChain>
</file>

<file path=xl/sharedStrings.xml><?xml version="1.0" encoding="utf-8"?>
<sst xmlns="http://schemas.openxmlformats.org/spreadsheetml/2006/main" count="973" uniqueCount="395">
  <si>
    <t>product_id</t>
  </si>
  <si>
    <t>product_name</t>
  </si>
  <si>
    <t>category</t>
  </si>
  <si>
    <t>price</t>
  </si>
  <si>
    <t>quantity_avaliable</t>
  </si>
  <si>
    <t>rating</t>
  </si>
  <si>
    <t>seller</t>
  </si>
  <si>
    <t>brufeen</t>
  </si>
  <si>
    <t>panadol</t>
  </si>
  <si>
    <t>buscopan</t>
  </si>
  <si>
    <t>pyodine</t>
  </si>
  <si>
    <t>lezra</t>
  </si>
  <si>
    <t>laxoberen</t>
  </si>
  <si>
    <t>syp</t>
  </si>
  <si>
    <t>tab</t>
  </si>
  <si>
    <t>sol</t>
  </si>
  <si>
    <t>maryam</t>
  </si>
  <si>
    <t>jamal</t>
  </si>
  <si>
    <t>shafiq</t>
  </si>
  <si>
    <t>ayesha</t>
  </si>
  <si>
    <t>sulaiman</t>
  </si>
  <si>
    <t>rafiq</t>
  </si>
  <si>
    <t>EMP001</t>
  </si>
  <si>
    <t>EMP002</t>
  </si>
  <si>
    <t>EMP003</t>
  </si>
  <si>
    <t>EMP004</t>
  </si>
  <si>
    <t>EMP005</t>
  </si>
  <si>
    <t>EMPLOEE_01</t>
  </si>
  <si>
    <t>EMPLOEE_02</t>
  </si>
  <si>
    <t>EMPLOEE_03</t>
  </si>
  <si>
    <t>EMPLOEE_04</t>
  </si>
  <si>
    <t>EMPLOEE_05</t>
  </si>
  <si>
    <t>FINANCE</t>
  </si>
  <si>
    <t>OPERATION</t>
  </si>
  <si>
    <t>EMPLOYEE_ID</t>
  </si>
  <si>
    <t>EMPLOYEE_NAME</t>
  </si>
  <si>
    <t>DEPARTMENT</t>
  </si>
  <si>
    <t>CONTACT NO</t>
  </si>
  <si>
    <t>p001</t>
  </si>
  <si>
    <t>p002</t>
  </si>
  <si>
    <t>p003</t>
  </si>
  <si>
    <t>p004</t>
  </si>
  <si>
    <t>p005</t>
  </si>
  <si>
    <t>product_1</t>
  </si>
  <si>
    <t>product_2</t>
  </si>
  <si>
    <t>product_3</t>
  </si>
  <si>
    <t>product_4</t>
  </si>
  <si>
    <t>product_5</t>
  </si>
  <si>
    <t>p006</t>
  </si>
  <si>
    <t>p007</t>
  </si>
  <si>
    <t>p008</t>
  </si>
  <si>
    <t>p009</t>
  </si>
  <si>
    <t>product_6</t>
  </si>
  <si>
    <t>product_7</t>
  </si>
  <si>
    <t>product_8</t>
  </si>
  <si>
    <t>product_9</t>
  </si>
  <si>
    <t>p010</t>
  </si>
  <si>
    <t>p011</t>
  </si>
  <si>
    <t>p012</t>
  </si>
  <si>
    <t>product_10</t>
  </si>
  <si>
    <t>product_11</t>
  </si>
  <si>
    <t>product_12</t>
  </si>
  <si>
    <t>product_code</t>
  </si>
  <si>
    <t>stock</t>
  </si>
  <si>
    <t>LENGTH</t>
  </si>
  <si>
    <t xml:space="preserve">   SALES</t>
  </si>
  <si>
    <t xml:space="preserve">  FINANCE</t>
  </si>
  <si>
    <t>REMOVE SPACE</t>
  </si>
  <si>
    <t>Brufen</t>
  </si>
  <si>
    <t>Ampiclox</t>
  </si>
  <si>
    <t>Amoxilll</t>
  </si>
  <si>
    <t>Claritek</t>
  </si>
  <si>
    <t>Panadol</t>
  </si>
  <si>
    <t>Laxobern</t>
  </si>
  <si>
    <t>Ciproxin</t>
  </si>
  <si>
    <t>Ceporex</t>
  </si>
  <si>
    <t>Zyrtec</t>
  </si>
  <si>
    <t>Zentel</t>
  </si>
  <si>
    <t>Mectmite</t>
  </si>
  <si>
    <t>Lezra</t>
  </si>
  <si>
    <t>city_pincode</t>
  </si>
  <si>
    <t>peshwar_44880</t>
  </si>
  <si>
    <t>islambad_56789</t>
  </si>
  <si>
    <t>karachi_45120</t>
  </si>
  <si>
    <t>peshwar</t>
  </si>
  <si>
    <t>city</t>
  </si>
  <si>
    <t>islambad</t>
  </si>
  <si>
    <t>karachi</t>
  </si>
  <si>
    <t>pincode</t>
  </si>
  <si>
    <t>shafiqshah</t>
  </si>
  <si>
    <t>EMP_ID</t>
  </si>
  <si>
    <t>SALESMAN</t>
  </si>
  <si>
    <t>SALES</t>
  </si>
  <si>
    <t>TARGET STATUS</t>
  </si>
  <si>
    <t>INCENTIVE</t>
  </si>
  <si>
    <t>EMP006</t>
  </si>
  <si>
    <t>EMP007</t>
  </si>
  <si>
    <t>EMP008</t>
  </si>
  <si>
    <t>EMP009</t>
  </si>
  <si>
    <t>EMPLOYEE_01</t>
  </si>
  <si>
    <t>EMPLOYEE_02</t>
  </si>
  <si>
    <t>EMPLOYEE_03</t>
  </si>
  <si>
    <t>EMPLOYEE_04</t>
  </si>
  <si>
    <t>EMPLOYEE_05</t>
  </si>
  <si>
    <t>EMPLOYEE_06</t>
  </si>
  <si>
    <t>EMPLOYEE_07</t>
  </si>
  <si>
    <t>EMPLOYEE_08</t>
  </si>
  <si>
    <t>EMPLOYEE_09</t>
  </si>
  <si>
    <t>TARGET CONDITION</t>
  </si>
  <si>
    <t>SALES ACHIEVED</t>
  </si>
  <si>
    <t>&gt;=50000</t>
  </si>
  <si>
    <t>&lt;50000</t>
  </si>
  <si>
    <t>STATUS</t>
  </si>
  <si>
    <t>COMPLETED</t>
  </si>
  <si>
    <t>INCOMPLETED</t>
  </si>
  <si>
    <t>INCENTIVE CALCULATIONS</t>
  </si>
  <si>
    <t>PERCENTAGE</t>
  </si>
  <si>
    <t>75000&gt;</t>
  </si>
  <si>
    <t>50000&gt;</t>
  </si>
  <si>
    <t>NAME</t>
  </si>
  <si>
    <t>WORKING(YEARS)</t>
  </si>
  <si>
    <t>SALARY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</si>
  <si>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</si>
  <si>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</si>
  <si>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</si>
  <si>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</si>
  <si>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</si>
  <si>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</si>
  <si>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</si>
  <si>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</si>
  <si>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</si>
  <si>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</si>
  <si>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</si>
  <si>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FINAANCE</t>
  </si>
  <si>
    <t>USE OF AND /OR</t>
  </si>
  <si>
    <t>BOTH</t>
  </si>
  <si>
    <t>PROMOTION</t>
  </si>
  <si>
    <t>ANY ONE</t>
  </si>
  <si>
    <t>5&gt;</t>
  </si>
  <si>
    <t>ye</t>
  </si>
  <si>
    <t>yes</t>
  </si>
  <si>
    <t>5&gt;=</t>
  </si>
  <si>
    <t>SALE DATE</t>
  </si>
  <si>
    <t>11_4_2024</t>
  </si>
  <si>
    <t>12_4_2024</t>
  </si>
  <si>
    <t>10_4_2024</t>
  </si>
  <si>
    <t>13-4_2024</t>
  </si>
  <si>
    <t>14_4_2024</t>
  </si>
  <si>
    <t>15_4_2024</t>
  </si>
  <si>
    <t>16_4_2024</t>
  </si>
  <si>
    <t>17_4_2024</t>
  </si>
  <si>
    <t>18_4_2024</t>
  </si>
  <si>
    <t>19_4_2024</t>
  </si>
  <si>
    <t>20_4_2024</t>
  </si>
  <si>
    <t>22_4_2024</t>
  </si>
  <si>
    <t>REGION</t>
  </si>
  <si>
    <t>AMERICA</t>
  </si>
  <si>
    <t>INDIA</t>
  </si>
  <si>
    <t>PAKISTAN</t>
  </si>
  <si>
    <t>CANADA</t>
  </si>
  <si>
    <t>RUSSIA</t>
  </si>
  <si>
    <t>INDONESIA</t>
  </si>
  <si>
    <t>AFGHANISTAN</t>
  </si>
  <si>
    <t>CHINA</t>
  </si>
  <si>
    <t>JAPAN</t>
  </si>
  <si>
    <t>TURKEY</t>
  </si>
  <si>
    <t>PALESTINE</t>
  </si>
  <si>
    <t>MANGOLIA</t>
  </si>
  <si>
    <t>UK</t>
  </si>
  <si>
    <t>STATE</t>
  </si>
  <si>
    <t>LAHORE</t>
  </si>
  <si>
    <t>LONDON</t>
  </si>
  <si>
    <t>NEW YORK</t>
  </si>
  <si>
    <t>MUMBAI</t>
  </si>
  <si>
    <t>TORNOTO</t>
  </si>
  <si>
    <t>MOSCOW</t>
  </si>
  <si>
    <t>JAKARTA</t>
  </si>
  <si>
    <t>KABUL</t>
  </si>
  <si>
    <t>BEIJING</t>
  </si>
  <si>
    <t>TOKYO</t>
  </si>
  <si>
    <t>ISTABUL</t>
  </si>
  <si>
    <t>JERUSALEM</t>
  </si>
  <si>
    <t>ULAANBAATAR</t>
  </si>
  <si>
    <t>CITY</t>
  </si>
  <si>
    <t>WEST</t>
  </si>
  <si>
    <t>EAST</t>
  </si>
  <si>
    <t>PRODUCT</t>
  </si>
  <si>
    <t>BRUFEEN</t>
  </si>
  <si>
    <t>PANADOL</t>
  </si>
  <si>
    <t>LEZRA</t>
  </si>
  <si>
    <t>AROMEK</t>
  </si>
  <si>
    <t>ZYRTEC</t>
  </si>
  <si>
    <t>VERMOX</t>
  </si>
  <si>
    <t>ZENTEL</t>
  </si>
  <si>
    <t>CEFIGET</t>
  </si>
  <si>
    <t>CEFIM</t>
  </si>
  <si>
    <t>CIPROXIN</t>
  </si>
  <si>
    <t>CEPOREX</t>
  </si>
  <si>
    <t>ESSO</t>
  </si>
  <si>
    <t>PANTAZ</t>
  </si>
  <si>
    <t>QUQNTITY</t>
  </si>
  <si>
    <t>PRICE</t>
  </si>
  <si>
    <t>SALES_AMOUNT</t>
  </si>
  <si>
    <t>JOINING DATE</t>
  </si>
  <si>
    <t>EMPOLYEE_01</t>
  </si>
  <si>
    <t>EMPOLYEE_02</t>
  </si>
  <si>
    <t>EMPOLYEE_03</t>
  </si>
  <si>
    <t>EMPOLYEE_04</t>
  </si>
  <si>
    <t>EMPOLYEE_05</t>
  </si>
  <si>
    <t>EMPOLYEE_06</t>
  </si>
  <si>
    <t>EMPOLYEE_07</t>
  </si>
  <si>
    <t>EMPOLYEE_08</t>
  </si>
  <si>
    <t>EMPOLYEE_09</t>
  </si>
  <si>
    <t>EMPOLYEE_10</t>
  </si>
  <si>
    <t>EMPOLYEE_11</t>
  </si>
  <si>
    <t>2_01_2021</t>
  </si>
  <si>
    <t>9_01_2021</t>
  </si>
  <si>
    <t>10_01_2021</t>
  </si>
  <si>
    <t>11_01_2021</t>
  </si>
  <si>
    <t>12_01_2021</t>
  </si>
  <si>
    <t>8_01_2021</t>
  </si>
  <si>
    <t>7_01_2021</t>
  </si>
  <si>
    <t>6_01_2021</t>
  </si>
  <si>
    <t>5_01_2021</t>
  </si>
  <si>
    <t>4_01_2021</t>
  </si>
  <si>
    <t>3_01_2021</t>
  </si>
  <si>
    <t>EMP010</t>
  </si>
  <si>
    <t>EMP011</t>
  </si>
  <si>
    <t>emp003</t>
  </si>
  <si>
    <t>saalary</t>
  </si>
  <si>
    <t>emp_type</t>
  </si>
  <si>
    <t>Grade 1</t>
  </si>
  <si>
    <t>Grade 2</t>
  </si>
  <si>
    <t>Grade 3</t>
  </si>
  <si>
    <t>Grade 4</t>
  </si>
  <si>
    <t>Grade 5</t>
  </si>
  <si>
    <t>Grade 6</t>
  </si>
  <si>
    <t>Greater than</t>
  </si>
  <si>
    <t>EMP_TYPE</t>
  </si>
  <si>
    <t>ROW</t>
  </si>
  <si>
    <t>COLUMN</t>
  </si>
  <si>
    <t>CLASS/SUBJECT</t>
  </si>
  <si>
    <t>8:00_8:45AM</t>
  </si>
  <si>
    <t>8:45_9:30AM</t>
  </si>
  <si>
    <t>9:30_10:15AM</t>
  </si>
  <si>
    <t>11:00_11:15AM</t>
  </si>
  <si>
    <t>10:15_11:00AM</t>
  </si>
  <si>
    <t>11:15_12:00PM</t>
  </si>
  <si>
    <t>STATISTICS</t>
  </si>
  <si>
    <t>DSA</t>
  </si>
  <si>
    <t>SOFTWARE ENG</t>
  </si>
  <si>
    <t>AI</t>
  </si>
  <si>
    <t>CIVICS</t>
  </si>
  <si>
    <t>DLD</t>
  </si>
  <si>
    <t>PROF:SUBHAN SAIB</t>
  </si>
  <si>
    <t>POF:BILAL SAIB</t>
  </si>
  <si>
    <t>PROF:MANZOOR JEHAN</t>
  </si>
  <si>
    <t>PROF:INAM SAIB</t>
  </si>
  <si>
    <t>PROF:SABIR SAIB</t>
  </si>
  <si>
    <t>PROF:ISRAR SAIB</t>
  </si>
  <si>
    <t>BREAK</t>
  </si>
  <si>
    <t>PROF: FAWAD SAIB</t>
  </si>
  <si>
    <t>POF: AHMAD SAIB</t>
  </si>
  <si>
    <t>PROF:ILYAS SAIB</t>
  </si>
  <si>
    <t>PROF:SHAYAN SAIB</t>
  </si>
  <si>
    <t>PROF:SHAKIR SAIB</t>
  </si>
  <si>
    <t>PROF:MANZOOR SAIB</t>
  </si>
  <si>
    <t>PROF:SAIF SAIB</t>
  </si>
  <si>
    <t>PROF: AZMAT SAIB</t>
  </si>
  <si>
    <t>PROF: RAHMA TSAIB</t>
  </si>
  <si>
    <t>PROF:ABUZAR SAIB</t>
  </si>
  <si>
    <t>MADAM MARYAM</t>
  </si>
  <si>
    <t>MADAM MUSKAN</t>
  </si>
  <si>
    <t>PROF:SULAIMAN</t>
  </si>
  <si>
    <t>PROF:SHAFIQ SHAH SAIB</t>
  </si>
  <si>
    <t>PROF:AMIR SAIB</t>
  </si>
  <si>
    <t>PROF:ABBAS SAIB</t>
  </si>
  <si>
    <t>PROF:ZIA SAIB</t>
  </si>
  <si>
    <t>POF:RAFIQ SAIB</t>
  </si>
  <si>
    <t>PROF:ALI SHER SIAB</t>
  </si>
  <si>
    <t>PROF:SAAD SAIB</t>
  </si>
  <si>
    <t>PROF:NAVEED SAIB</t>
  </si>
  <si>
    <t>PROF:TOOR GUL SAIB</t>
  </si>
  <si>
    <t>PROF:  MANSOOOR SAIB</t>
  </si>
  <si>
    <t xml:space="preserve">ROW </t>
  </si>
  <si>
    <t>PROF: ESA SAIB</t>
  </si>
  <si>
    <t>CUSTOMER NAME</t>
  </si>
  <si>
    <t>SHAFIQ</t>
  </si>
  <si>
    <t>AYAN</t>
  </si>
  <si>
    <t>ZAIN</t>
  </si>
  <si>
    <t>AHMAD</t>
  </si>
  <si>
    <t>SULAIMAN</t>
  </si>
  <si>
    <t>AZMAT</t>
  </si>
  <si>
    <t>ALI</t>
  </si>
  <si>
    <t>SHAYAN</t>
  </si>
  <si>
    <t>JAMAL</t>
  </si>
  <si>
    <t>MUSKAN</t>
  </si>
  <si>
    <t>HASSAN</t>
  </si>
  <si>
    <t>RAHMAT</t>
  </si>
  <si>
    <t>ZOHAIB</t>
  </si>
  <si>
    <t>PRODUCT CATEGORY</t>
  </si>
  <si>
    <t>TABLET</t>
  </si>
  <si>
    <t>SYRUP</t>
  </si>
  <si>
    <t>DROP</t>
  </si>
  <si>
    <t>23_4_2024</t>
  </si>
  <si>
    <t>2_5_2024</t>
  </si>
  <si>
    <t>12_5_2024</t>
  </si>
  <si>
    <t>11_5_2024</t>
  </si>
  <si>
    <t>10_5_2024</t>
  </si>
  <si>
    <t>9_5_2024</t>
  </si>
  <si>
    <t>8_5_2024</t>
  </si>
  <si>
    <t>7_5_2024</t>
  </si>
  <si>
    <t>6_5_2024</t>
  </si>
  <si>
    <t>5_5_2024</t>
  </si>
  <si>
    <t>4_5_2024</t>
  </si>
  <si>
    <t>3_5_2024</t>
  </si>
  <si>
    <t>1_5_2024</t>
  </si>
  <si>
    <t>31_4_2024</t>
  </si>
  <si>
    <t>30_4_2024</t>
  </si>
  <si>
    <t>29_4_2024</t>
  </si>
  <si>
    <t>FAHAD</t>
  </si>
  <si>
    <t>ALIYAR</t>
  </si>
  <si>
    <t>SAIF</t>
  </si>
  <si>
    <t>UMAR</t>
  </si>
  <si>
    <t>USMAN</t>
  </si>
  <si>
    <t>MANSOOR</t>
  </si>
  <si>
    <t>ESA</t>
  </si>
  <si>
    <t>AMIR</t>
  </si>
  <si>
    <t>ZIA</t>
  </si>
  <si>
    <t>SAAD</t>
  </si>
  <si>
    <t>MANZOOR</t>
  </si>
  <si>
    <t>ABUUZAR</t>
  </si>
  <si>
    <t>PIYA</t>
  </si>
  <si>
    <t>IBRAHIM</t>
  </si>
  <si>
    <t>SOHAIB</t>
  </si>
  <si>
    <t>MUDASIR</t>
  </si>
  <si>
    <t>CREAM</t>
  </si>
  <si>
    <t>F/WASH</t>
  </si>
  <si>
    <t>SERUM</t>
  </si>
  <si>
    <t>SHAMPOO</t>
  </si>
  <si>
    <t>LIPSSTICK</t>
  </si>
  <si>
    <t>BLEACH</t>
  </si>
  <si>
    <t>HAIR COLOR</t>
  </si>
  <si>
    <t>MILK</t>
  </si>
  <si>
    <t>GOLDEN PEARL</t>
  </si>
  <si>
    <t>BHANDHAN</t>
  </si>
  <si>
    <t>HEAD AND SHOULDER</t>
  </si>
  <si>
    <t>PANTENE</t>
  </si>
  <si>
    <t>GOLDEN PEARL SERUM</t>
  </si>
  <si>
    <t>WHITE VALLEY</t>
  </si>
  <si>
    <t>BELLADONNA ORGANIC</t>
  </si>
  <si>
    <t>CLEAR</t>
  </si>
  <si>
    <t>MARHAABA</t>
  </si>
  <si>
    <t>JOHNSON</t>
  </si>
  <si>
    <t>DHMAKIDAR</t>
  </si>
  <si>
    <t>LACTOGEN</t>
  </si>
  <si>
    <t>ENSURE</t>
  </si>
  <si>
    <t xml:space="preserve"> product name</t>
  </si>
  <si>
    <t>PROJECT ID</t>
  </si>
  <si>
    <t xml:space="preserve">START DATE </t>
  </si>
  <si>
    <t>END DATE</t>
  </si>
  <si>
    <t>DAYS REMAINING</t>
  </si>
  <si>
    <t>P101</t>
  </si>
  <si>
    <t>P102</t>
  </si>
  <si>
    <t>P103</t>
  </si>
  <si>
    <t>P104</t>
  </si>
  <si>
    <t>P105</t>
  </si>
  <si>
    <t>DATE OF JOINING</t>
  </si>
  <si>
    <t>DATE OF BIRTH</t>
  </si>
  <si>
    <t>RONALDO</t>
  </si>
  <si>
    <t>PUSHPA</t>
  </si>
  <si>
    <t>13/3/2021</t>
  </si>
  <si>
    <t>15/4/2017</t>
  </si>
  <si>
    <t>16/7/2018</t>
  </si>
  <si>
    <t>19/1/2020</t>
  </si>
  <si>
    <t>AGE</t>
  </si>
  <si>
    <t>30/12/2022</t>
  </si>
  <si>
    <t>HOLIDAYS</t>
  </si>
  <si>
    <t>FILDIL</t>
  </si>
  <si>
    <t>PRIMOLUT_N</t>
  </si>
  <si>
    <t>VELOSEF</t>
  </si>
  <si>
    <t>NOVIDAT</t>
  </si>
  <si>
    <t>CYROCIN</t>
  </si>
  <si>
    <t>ENCID</t>
  </si>
  <si>
    <t>ESKEM</t>
  </si>
  <si>
    <t>ESSONOVAE</t>
  </si>
  <si>
    <t>CEPFROX</t>
  </si>
  <si>
    <t>PROGLYTON</t>
  </si>
  <si>
    <t>HYDRAZOLE</t>
  </si>
  <si>
    <t>HEALIT</t>
  </si>
  <si>
    <t>POLYFAX</t>
  </si>
  <si>
    <t>CICATRIN</t>
  </si>
  <si>
    <t>Row Labels</t>
  </si>
  <si>
    <t>Grand Total</t>
  </si>
  <si>
    <t>Sum of QUQNTITY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</si>
</sst>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[$€-2]\ * #,##0.00_);_([$€-2]\ * \(#,##0.00\);_([$€-2]\ * &quot;-&quot;??_);_(@_)"/>
    <numFmt numFmtId="165" formatCode="dd/mm/yy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i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0" xfId="0" applyNumberFormat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164" fontId="0" fillId="0" borderId="0" xfId="1" applyNumberFormat="1" applyFont="1"/>
    <xf numFmtId="164" fontId="2" fillId="0" borderId="7" xfId="1" applyNumberFormat="1" applyFont="1" applyBorder="1"/>
    <xf numFmtId="164" fontId="0" fillId="0" borderId="7" xfId="1" applyNumberFormat="1" applyFont="1" applyBorder="1"/>
    <xf numFmtId="0" fontId="0" fillId="0" borderId="0" xfId="0" applyAlignment="1">
      <alignment horizontal="center"/>
    </xf>
    <xf numFmtId="0" fontId="0" fillId="0" borderId="7" xfId="0" applyNumberFormat="1" applyBorder="1"/>
    <xf numFmtId="0" fontId="2" fillId="2" borderId="7" xfId="0" applyFont="1" applyFill="1" applyBorder="1"/>
    <xf numFmtId="0" fontId="2" fillId="3" borderId="0" xfId="0" applyFont="1" applyFill="1"/>
    <xf numFmtId="0" fontId="2" fillId="0" borderId="7" xfId="0" applyFont="1" applyBorder="1"/>
    <xf numFmtId="0" fontId="2" fillId="2" borderId="0" xfId="0" applyFont="1" applyFill="1" applyBorder="1"/>
    <xf numFmtId="0" fontId="0" fillId="0" borderId="0" xfId="0" applyNumberFormat="1" applyBorder="1"/>
    <xf numFmtId="164" fontId="2" fillId="2" borderId="7" xfId="0" applyNumberFormat="1" applyFont="1" applyFill="1" applyBorder="1"/>
    <xf numFmtId="164" fontId="0" fillId="0" borderId="7" xfId="0" applyNumberFormat="1" applyBorder="1"/>
    <xf numFmtId="164" fontId="0" fillId="0" borderId="0" xfId="0" applyNumberFormat="1"/>
    <xf numFmtId="0" fontId="0" fillId="0" borderId="0" xfId="0" applyNumberFormat="1" applyFill="1" applyBorder="1"/>
    <xf numFmtId="165" fontId="2" fillId="0" borderId="0" xfId="0" applyNumberFormat="1" applyFont="1"/>
    <xf numFmtId="165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2" fillId="0" borderId="7" xfId="0" applyFont="1" applyBorder="1"/>
    <xf numFmtId="14" fontId="0" fillId="0" borderId="7" xfId="0" applyNumberFormat="1" applyBorder="1"/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microsoft.com/office/2011/relationships/timelineCache" Target="timelineCaches/timeline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cleaning.xlsx]PIVOT TABLE 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34-414C-B485-98BC055997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34-414C-B485-98BC055997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34-414C-B485-98BC055997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34-414C-B485-98BC055997AA}"/>
              </c:ext>
            </c:extLst>
          </c:dPt>
          <c:cat>
            <c:strRef>
              <c:f>'PIVOT TABLE 2'!$A$4:$A$8</c:f>
              <c:strCache>
                <c:ptCount val="4"/>
                <c:pt idx="0">
                  <c:v>AMERICA</c:v>
                </c:pt>
                <c:pt idx="1">
                  <c:v>CANADA</c:v>
                </c:pt>
                <c:pt idx="2">
                  <c:v>CHINA</c:v>
                </c:pt>
                <c:pt idx="3">
                  <c:v>INDIA</c:v>
                </c:pt>
              </c:strCache>
            </c:strRef>
          </c:cat>
          <c:val>
            <c:numRef>
              <c:f>'PIVOT TABLE 2'!$B$4:$B$8</c:f>
              <c:numCache>
                <c:formatCode>General</c:formatCode>
                <c:ptCount val="4"/>
                <c:pt idx="0">
                  <c:v>27</c:v>
                </c:pt>
                <c:pt idx="1">
                  <c:v>74</c:v>
                </c:pt>
                <c:pt idx="2">
                  <c:v>37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4-4797-9E4E-EC6956275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cleaning.xlsx]PIVOT TABLE 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83-40E7-9DE2-061EB23BEF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3-40E7-9DE2-061EB23BEF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83-40E7-9DE2-061EB23BEF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83-40E7-9DE2-061EB23BEF35}"/>
              </c:ext>
            </c:extLst>
          </c:dPt>
          <c:cat>
            <c:strRef>
              <c:f>'PIVOT TABLE 2'!$A$4:$A$8</c:f>
              <c:strCache>
                <c:ptCount val="4"/>
                <c:pt idx="0">
                  <c:v>AMERICA</c:v>
                </c:pt>
                <c:pt idx="1">
                  <c:v>CANADA</c:v>
                </c:pt>
                <c:pt idx="2">
                  <c:v>CHINA</c:v>
                </c:pt>
                <c:pt idx="3">
                  <c:v>INDIA</c:v>
                </c:pt>
              </c:strCache>
            </c:strRef>
          </c:cat>
          <c:val>
            <c:numRef>
              <c:f>'PIVOT TABLE 2'!$B$4:$B$8</c:f>
              <c:numCache>
                <c:formatCode>General</c:formatCode>
                <c:ptCount val="4"/>
                <c:pt idx="0">
                  <c:v>27</c:v>
                </c:pt>
                <c:pt idx="1">
                  <c:v>74</c:v>
                </c:pt>
                <c:pt idx="2">
                  <c:v>37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1-42F5-ACE1-196E8DCA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5</xdr:row>
      <xdr:rowOff>142875</xdr:rowOff>
    </xdr:from>
    <xdr:to>
      <xdr:col>8</xdr:col>
      <xdr:colOff>590550</xdr:colOff>
      <xdr:row>22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285750</xdr:colOff>
      <xdr:row>6</xdr:row>
      <xdr:rowOff>152400</xdr:rowOff>
    </xdr:from>
    <xdr:to>
      <xdr:col>6</xdr:col>
      <xdr:colOff>571500</xdr:colOff>
      <xdr:row>20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266700</xdr:colOff>
      <xdr:row>5</xdr:row>
      <xdr:rowOff>0</xdr:rowOff>
    </xdr:from>
    <xdr:to>
      <xdr:col>11</xdr:col>
      <xdr:colOff>552450</xdr:colOff>
      <xdr:row>12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SALE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ALE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3925" y="9525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oorche" refreshedDate="46025.645652199077" createdVersion="6" refreshedVersion="6" minRefreshableVersion="3" recordCount="28">
  <cacheSource type="worksheet">
    <worksheetSource ref="A1:H29" sheet="PIVOT TABLE 1"/>
  </cacheSource>
  <cacheFields count="8">
    <cacheField name="SALE DATE" numFmtId="14">
      <sharedItems containsSemiMixedTypes="0" containsNonDate="0" containsDate="1" containsString="0" minDate="2024-12-04T00:00:00" maxDate="2025-01-01T00:00:00" count="28"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</cacheField>
    <cacheField name="STATE" numFmtId="0">
      <sharedItems count="13">
        <s v="PAKISTAN"/>
        <s v="INDIA"/>
        <s v="JAPAN"/>
        <s v="AFGHANISTAN"/>
        <s v="TURKEY"/>
        <s v="CANADA"/>
        <s v="PALESTINE"/>
        <s v="CHINA"/>
        <s v="RUSSIA"/>
        <s v="AMERICA"/>
        <s v="MANGOLIA"/>
        <s v="UK"/>
        <s v="INDONESIA"/>
      </sharedItems>
    </cacheField>
    <cacheField name="CITY" numFmtId="0">
      <sharedItems/>
    </cacheField>
    <cacheField name="REGION" numFmtId="0">
      <sharedItems count="2">
        <s v="EAST"/>
        <s v="WEST"/>
      </sharedItems>
    </cacheField>
    <cacheField name="PRODUCT" numFmtId="0">
      <sharedItems count="27">
        <s v="AROMEK"/>
        <s v="LEZRA"/>
        <s v="CIPROXIN"/>
        <s v="CEFIGET"/>
        <s v="CEPOREX"/>
        <s v="ZYRTEC"/>
        <s v="ESSO"/>
        <s v="CEFIM"/>
        <s v="VERMOX"/>
        <s v="PANADOL"/>
        <s v="PANTAZ"/>
        <s v="BRUFEEN"/>
        <s v="ZENTEL"/>
        <s v="FILDIL"/>
        <s v="PRIMOLUT_N"/>
        <s v="VELOSEF"/>
        <s v="NOVIDAT"/>
        <s v="CYROCIN"/>
        <s v="ENCID"/>
        <s v="ESKEM"/>
        <s v="ESSONOVAE"/>
        <s v="CEPFROX"/>
        <s v="PROGLYTON"/>
        <s v="HYDRAZOLE"/>
        <s v="HEALIT"/>
        <s v="POLYFAX"/>
        <s v="CICATRIN"/>
      </sharedItems>
    </cacheField>
    <cacheField name="QUQNTITY" numFmtId="0">
      <sharedItems containsSemiMixedTypes="0" containsString="0" containsNumber="1" containsInteger="1" minValue="4" maxValue="34"/>
    </cacheField>
    <cacheField name="PRICE" numFmtId="0">
      <sharedItems containsSemiMixedTypes="0" containsString="0" containsNumber="1" containsInteger="1" minValue="50" maxValue="5000"/>
    </cacheField>
    <cacheField name="SALES_AMOUNT" numFmtId="0">
      <sharedItems containsSemiMixedTypes="0" containsString="0" containsNumber="1" containsInteger="1" minValue="7800" maxValue="8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s v="LAHORE"/>
    <x v="0"/>
    <x v="0"/>
    <n v="5"/>
    <n v="3000"/>
    <n v="34550"/>
  </r>
  <r>
    <x v="1"/>
    <x v="1"/>
    <s v="MUMBAI"/>
    <x v="0"/>
    <x v="1"/>
    <n v="8"/>
    <n v="2250"/>
    <n v="34000"/>
  </r>
  <r>
    <x v="2"/>
    <x v="2"/>
    <s v="TOKYO"/>
    <x v="0"/>
    <x v="2"/>
    <n v="16"/>
    <n v="500"/>
    <n v="44070"/>
  </r>
  <r>
    <x v="3"/>
    <x v="3"/>
    <s v="KABUL"/>
    <x v="1"/>
    <x v="3"/>
    <n v="6"/>
    <n v="450"/>
    <n v="30000"/>
  </r>
  <r>
    <x v="4"/>
    <x v="4"/>
    <s v="ISTABUL"/>
    <x v="1"/>
    <x v="4"/>
    <n v="17"/>
    <n v="430"/>
    <n v="61000"/>
  </r>
  <r>
    <x v="5"/>
    <x v="5"/>
    <s v="TORNOTO"/>
    <x v="0"/>
    <x v="5"/>
    <n v="8"/>
    <n v="400"/>
    <n v="24000"/>
  </r>
  <r>
    <x v="6"/>
    <x v="6"/>
    <s v="JERUSALEM"/>
    <x v="1"/>
    <x v="6"/>
    <n v="19"/>
    <n v="370"/>
    <n v="70500"/>
  </r>
  <r>
    <x v="7"/>
    <x v="7"/>
    <s v="BEIJING"/>
    <x v="1"/>
    <x v="7"/>
    <n v="10"/>
    <n v="340"/>
    <n v="20000"/>
  </r>
  <r>
    <x v="8"/>
    <x v="8"/>
    <s v="MOSCOW"/>
    <x v="0"/>
    <x v="8"/>
    <n v="4"/>
    <n v="200"/>
    <n v="20600"/>
  </r>
  <r>
    <x v="9"/>
    <x v="9"/>
    <s v="NEW YORK"/>
    <x v="1"/>
    <x v="9"/>
    <n v="9"/>
    <n v="130"/>
    <n v="7800"/>
  </r>
  <r>
    <x v="10"/>
    <x v="10"/>
    <s v="ULAANBAATAR"/>
    <x v="0"/>
    <x v="10"/>
    <n v="12"/>
    <n v="120"/>
    <n v="20070"/>
  </r>
  <r>
    <x v="11"/>
    <x v="11"/>
    <s v="LONDON"/>
    <x v="1"/>
    <x v="11"/>
    <n v="9"/>
    <n v="120"/>
    <n v="23900"/>
  </r>
  <r>
    <x v="12"/>
    <x v="12"/>
    <s v="JAKARTA"/>
    <x v="0"/>
    <x v="12"/>
    <n v="15"/>
    <n v="50"/>
    <n v="18060"/>
  </r>
  <r>
    <x v="13"/>
    <x v="0"/>
    <s v="LAHORE"/>
    <x v="0"/>
    <x v="13"/>
    <n v="12"/>
    <n v="250"/>
    <n v="25000"/>
  </r>
  <r>
    <x v="14"/>
    <x v="1"/>
    <s v="MUMBAI"/>
    <x v="0"/>
    <x v="5"/>
    <n v="14"/>
    <n v="150"/>
    <n v="35000"/>
  </r>
  <r>
    <x v="15"/>
    <x v="2"/>
    <s v="TOKYO"/>
    <x v="0"/>
    <x v="14"/>
    <n v="15"/>
    <n v="200"/>
    <n v="28000"/>
  </r>
  <r>
    <x v="16"/>
    <x v="3"/>
    <s v="KABUL"/>
    <x v="1"/>
    <x v="15"/>
    <n v="16"/>
    <n v="250"/>
    <n v="36000"/>
  </r>
  <r>
    <x v="17"/>
    <x v="4"/>
    <s v="ISTABUL"/>
    <x v="1"/>
    <x v="16"/>
    <n v="34"/>
    <n v="350"/>
    <n v="37000"/>
  </r>
  <r>
    <x v="18"/>
    <x v="5"/>
    <s v="TORNOTO"/>
    <x v="0"/>
    <x v="17"/>
    <n v="34"/>
    <n v="200"/>
    <n v="40000"/>
  </r>
  <r>
    <x v="19"/>
    <x v="6"/>
    <s v="JERUSALEM"/>
    <x v="1"/>
    <x v="18"/>
    <n v="32"/>
    <n v="300"/>
    <n v="55000"/>
  </r>
  <r>
    <x v="20"/>
    <x v="7"/>
    <s v="BEIJING"/>
    <x v="1"/>
    <x v="19"/>
    <n v="27"/>
    <n v="400"/>
    <n v="80000"/>
  </r>
  <r>
    <x v="21"/>
    <x v="8"/>
    <s v="MOSCOW"/>
    <x v="0"/>
    <x v="20"/>
    <n v="13"/>
    <n v="500"/>
    <n v="25000"/>
  </r>
  <r>
    <x v="22"/>
    <x v="9"/>
    <s v="NEW YORK"/>
    <x v="1"/>
    <x v="21"/>
    <n v="18"/>
    <n v="550"/>
    <n v="21000"/>
  </r>
  <r>
    <x v="23"/>
    <x v="10"/>
    <s v="ULAANBAATAR"/>
    <x v="0"/>
    <x v="22"/>
    <n v="14"/>
    <n v="5000"/>
    <n v="56000"/>
  </r>
  <r>
    <x v="24"/>
    <x v="11"/>
    <s v="LONDON"/>
    <x v="1"/>
    <x v="23"/>
    <n v="20"/>
    <n v="200"/>
    <n v="25000"/>
  </r>
  <r>
    <x v="25"/>
    <x v="12"/>
    <s v="JAKARTA"/>
    <x v="0"/>
    <x v="24"/>
    <n v="30"/>
    <n v="250"/>
    <n v="19000"/>
  </r>
  <r>
    <x v="26"/>
    <x v="5"/>
    <s v="TORNOTO"/>
    <x v="0"/>
    <x v="25"/>
    <n v="32"/>
    <n v="120"/>
    <n v="20000"/>
  </r>
  <r>
    <x v="27"/>
    <x v="0"/>
    <s v="LAHORE"/>
    <x v="0"/>
    <x v="26"/>
    <n v="29"/>
    <n v="200"/>
    <n v="2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8" firstHeaderRow="1" firstDataRow="1" firstDataCol="1"/>
  <pivotFields count="8">
    <pivotField numFmtId="14" showAll="0"/>
    <pivotField axis="axisRow" showAll="0">
      <items count="14">
        <item h="1" x="3"/>
        <item x="9"/>
        <item x="5"/>
        <item x="7"/>
        <item x="1"/>
        <item h="1" x="12"/>
        <item h="1" x="2"/>
        <item h="1" x="10"/>
        <item h="1" x="0"/>
        <item h="1" x="6"/>
        <item h="1" x="8"/>
        <item h="1" x="4"/>
        <item h="1" x="1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8">
        <item x="0"/>
        <item x="11"/>
        <item x="3"/>
        <item x="7"/>
        <item x="21"/>
        <item x="4"/>
        <item x="26"/>
        <item x="2"/>
        <item x="17"/>
        <item x="18"/>
        <item x="19"/>
        <item x="6"/>
        <item x="20"/>
        <item x="13"/>
        <item x="24"/>
        <item x="23"/>
        <item x="1"/>
        <item x="16"/>
        <item x="9"/>
        <item x="10"/>
        <item x="25"/>
        <item x="14"/>
        <item x="22"/>
        <item x="15"/>
        <item x="8"/>
        <item x="12"/>
        <item x="5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QNTITY" fld="5" baseField="0" baseItem="0"/>
  </dataFields>
  <chartFormats count="10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3:B11" firstHeaderRow="1" firstDataRow="1" firstDataCol="1"/>
  <pivotFields count="8">
    <pivotField axis="axisRow"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8"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UQNTITY" fld="5" baseField="0" baseItem="0"/>
  </dataFields>
  <pivotTableStyleInfo name="PivotStyleLight16" showRowHeaders="1" showColHeaders="1" showRowStripes="0" showColStripes="0" showLastColumn="1"/>
  <filters count="1">
    <filter fld="0" type="dateBetween" evalOrder="-1" id="24" name="SALE DATE">
      <autoFilter ref="A1">
        <filterColumn colId="0">
          <customFilters and="1">
            <customFilter operator="greaterThanOrEqual" val="45647"/>
            <customFilter operator="lessThanOrEqual" val="456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SALE_DATE" sourceName="SALE DATE">
  <pivotTables>
    <pivotTable tabId="22" name="PivotTable2"/>
  </pivotTables>
  <state minimalRefreshVersion="6" lastRefreshVersion="6" pivotCacheId="1" filterType="dateBetween">
    <selection startDate="2024-12-21T00:00:00" endDate="2024-12-27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SALE DATE" cache="NativeTimeline_SALE_DATE" caption="SALE DATE" level="3" selectionLevel="3" scrollPosition="2024-12-21T00:00:00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zoomScale="130" zoomScaleNormal="130" workbookViewId="0">
      <selection activeCell="E12" sqref="E12"/>
    </sheetView>
  </sheetViews>
  <sheetFormatPr defaultRowHeight="15" x14ac:dyDescent="0.25"/>
  <cols>
    <col min="1" max="1" width="10.140625" customWidth="1"/>
    <col min="2" max="2" width="14.140625" customWidth="1"/>
    <col min="5" max="5" width="17.71093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101</v>
      </c>
      <c r="B2" t="s">
        <v>7</v>
      </c>
      <c r="C2" t="s">
        <v>13</v>
      </c>
      <c r="D2">
        <v>110</v>
      </c>
      <c r="E2">
        <v>40</v>
      </c>
      <c r="F2">
        <v>5.5</v>
      </c>
      <c r="G2" t="s">
        <v>16</v>
      </c>
    </row>
    <row r="3" spans="1:7" x14ac:dyDescent="0.25">
      <c r="A3">
        <v>102</v>
      </c>
      <c r="B3" t="s">
        <v>8</v>
      </c>
      <c r="C3" t="s">
        <v>13</v>
      </c>
      <c r="D3">
        <v>130</v>
      </c>
      <c r="E3">
        <v>28</v>
      </c>
      <c r="F3">
        <v>6.5</v>
      </c>
      <c r="G3" t="s">
        <v>17</v>
      </c>
    </row>
    <row r="4" spans="1:7" x14ac:dyDescent="0.25">
      <c r="A4">
        <v>103</v>
      </c>
      <c r="B4" t="s">
        <v>9</v>
      </c>
      <c r="C4" t="s">
        <v>14</v>
      </c>
      <c r="D4">
        <v>80</v>
      </c>
      <c r="E4">
        <v>67</v>
      </c>
      <c r="F4">
        <v>5.6</v>
      </c>
      <c r="G4" t="s">
        <v>18</v>
      </c>
    </row>
    <row r="5" spans="1:7" x14ac:dyDescent="0.25">
      <c r="A5">
        <v>104</v>
      </c>
      <c r="B5" t="s">
        <v>10</v>
      </c>
      <c r="C5" t="s">
        <v>15</v>
      </c>
      <c r="D5">
        <v>100</v>
      </c>
      <c r="E5">
        <v>55</v>
      </c>
      <c r="F5">
        <v>4.5</v>
      </c>
      <c r="G5" t="s">
        <v>19</v>
      </c>
    </row>
    <row r="6" spans="1:7" x14ac:dyDescent="0.25">
      <c r="A6">
        <v>106</v>
      </c>
      <c r="B6" t="s">
        <v>11</v>
      </c>
      <c r="C6" t="s">
        <v>14</v>
      </c>
      <c r="D6">
        <v>2500</v>
      </c>
      <c r="E6">
        <v>10</v>
      </c>
      <c r="F6">
        <v>4.8</v>
      </c>
      <c r="G6" t="s">
        <v>20</v>
      </c>
    </row>
    <row r="7" spans="1:7" x14ac:dyDescent="0.25">
      <c r="A7">
        <v>105</v>
      </c>
      <c r="B7" t="s">
        <v>12</v>
      </c>
      <c r="C7" t="s">
        <v>13</v>
      </c>
      <c r="D7">
        <v>120</v>
      </c>
      <c r="E7">
        <v>60</v>
      </c>
      <c r="F7">
        <v>4.3</v>
      </c>
      <c r="G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zoomScale="140" zoomScaleNormal="140" workbookViewId="0">
      <selection sqref="A1:XFD1"/>
    </sheetView>
  </sheetViews>
  <sheetFormatPr defaultRowHeight="15" x14ac:dyDescent="0.25"/>
  <cols>
    <col min="1" max="1" width="13.140625" bestFit="1" customWidth="1"/>
    <col min="2" max="2" width="17" bestFit="1" customWidth="1"/>
    <col min="3" max="3" width="13" customWidth="1"/>
    <col min="4" max="4" width="15.140625" customWidth="1"/>
    <col min="5" max="5" width="13" customWidth="1"/>
    <col min="6" max="6" width="13.140625" customWidth="1"/>
  </cols>
  <sheetData>
    <row r="1" spans="1:6" s="2" customFormat="1" x14ac:dyDescent="0.25">
      <c r="A1" s="2" t="s">
        <v>34</v>
      </c>
      <c r="B1" s="2" t="s">
        <v>35</v>
      </c>
      <c r="C1" s="2" t="s">
        <v>36</v>
      </c>
      <c r="D1" s="2" t="s">
        <v>67</v>
      </c>
      <c r="E1" s="2" t="s">
        <v>64</v>
      </c>
      <c r="F1" s="2" t="s">
        <v>37</v>
      </c>
    </row>
    <row r="2" spans="1:6" x14ac:dyDescent="0.25">
      <c r="A2" t="s">
        <v>22</v>
      </c>
      <c r="B2" t="s">
        <v>27</v>
      </c>
      <c r="C2" t="s">
        <v>32</v>
      </c>
      <c r="D2" t="str">
        <f>TRIM(C2)</f>
        <v>FINANCE</v>
      </c>
      <c r="E2">
        <f>LEN(D2)</f>
        <v>7</v>
      </c>
      <c r="F2">
        <v>3275907395</v>
      </c>
    </row>
    <row r="3" spans="1:6" x14ac:dyDescent="0.25">
      <c r="A3" t="s">
        <v>23</v>
      </c>
      <c r="B3" t="s">
        <v>28</v>
      </c>
      <c r="C3" t="s">
        <v>33</v>
      </c>
      <c r="D3" t="str">
        <f t="shared" ref="D3:D6" si="0">TRIM(C3)</f>
        <v>OPERATION</v>
      </c>
      <c r="E3">
        <f t="shared" ref="E3:E6" si="1">LEN(D3)</f>
        <v>9</v>
      </c>
      <c r="F3">
        <v>3018990291</v>
      </c>
    </row>
    <row r="4" spans="1:6" x14ac:dyDescent="0.25">
      <c r="A4" t="s">
        <v>24</v>
      </c>
      <c r="B4" t="s">
        <v>29</v>
      </c>
      <c r="C4" t="s">
        <v>65</v>
      </c>
      <c r="D4" t="str">
        <f t="shared" si="0"/>
        <v>SALES</v>
      </c>
      <c r="E4">
        <f t="shared" si="1"/>
        <v>5</v>
      </c>
      <c r="F4">
        <v>3151252422</v>
      </c>
    </row>
    <row r="5" spans="1:6" x14ac:dyDescent="0.25">
      <c r="A5" t="s">
        <v>25</v>
      </c>
      <c r="B5" t="s">
        <v>30</v>
      </c>
      <c r="C5" t="s">
        <v>66</v>
      </c>
      <c r="D5" t="str">
        <f t="shared" si="0"/>
        <v>FINANCE</v>
      </c>
      <c r="E5">
        <f t="shared" si="1"/>
        <v>7</v>
      </c>
      <c r="F5">
        <v>3235907365</v>
      </c>
    </row>
    <row r="6" spans="1:6" x14ac:dyDescent="0.25">
      <c r="A6" t="s">
        <v>26</v>
      </c>
      <c r="B6" t="s">
        <v>31</v>
      </c>
      <c r="C6" t="s">
        <v>33</v>
      </c>
      <c r="D6" t="str">
        <f t="shared" si="0"/>
        <v>OPERATION</v>
      </c>
      <c r="E6">
        <f t="shared" si="1"/>
        <v>9</v>
      </c>
      <c r="F6">
        <v>3025656236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70" zoomScaleNormal="170" workbookViewId="0">
      <selection activeCell="E2" sqref="E2"/>
    </sheetView>
  </sheetViews>
  <sheetFormatPr defaultRowHeight="15" x14ac:dyDescent="0.25"/>
  <cols>
    <col min="1" max="1" width="12.7109375" customWidth="1"/>
    <col min="2" max="2" width="14" bestFit="1" customWidth="1"/>
    <col min="5" max="5" width="14.28515625" customWidth="1"/>
    <col min="6" max="6" width="10.42578125" customWidth="1"/>
  </cols>
  <sheetData>
    <row r="1" spans="1:5" s="3" customFormat="1" x14ac:dyDescent="0.25">
      <c r="A1" s="3" t="s">
        <v>62</v>
      </c>
      <c r="B1" s="3" t="s">
        <v>1</v>
      </c>
      <c r="C1" s="3" t="s">
        <v>2</v>
      </c>
      <c r="D1" s="3" t="s">
        <v>3</v>
      </c>
      <c r="E1" s="3" t="s">
        <v>63</v>
      </c>
    </row>
    <row r="2" spans="1:5" x14ac:dyDescent="0.25">
      <c r="A2" t="s">
        <v>38</v>
      </c>
      <c r="B2" t="s">
        <v>43</v>
      </c>
      <c r="C2" t="s">
        <v>68</v>
      </c>
      <c r="D2">
        <v>120</v>
      </c>
      <c r="E2">
        <v>0</v>
      </c>
    </row>
    <row r="3" spans="1:5" x14ac:dyDescent="0.25">
      <c r="A3" t="s">
        <v>39</v>
      </c>
      <c r="B3" t="s">
        <v>44</v>
      </c>
      <c r="C3" t="s">
        <v>69</v>
      </c>
      <c r="D3">
        <v>113.21</v>
      </c>
      <c r="E3">
        <v>55</v>
      </c>
    </row>
    <row r="4" spans="1:5" x14ac:dyDescent="0.25">
      <c r="A4" t="s">
        <v>40</v>
      </c>
      <c r="B4" t="s">
        <v>45</v>
      </c>
      <c r="C4" t="s">
        <v>70</v>
      </c>
      <c r="D4">
        <v>110</v>
      </c>
      <c r="E4">
        <v>21</v>
      </c>
    </row>
    <row r="5" spans="1:5" x14ac:dyDescent="0.25">
      <c r="A5" t="s">
        <v>41</v>
      </c>
      <c r="B5" t="s">
        <v>46</v>
      </c>
      <c r="C5" t="s">
        <v>71</v>
      </c>
      <c r="D5">
        <v>150</v>
      </c>
      <c r="E5">
        <v>12</v>
      </c>
    </row>
    <row r="6" spans="1:5" x14ac:dyDescent="0.25">
      <c r="A6" t="s">
        <v>42</v>
      </c>
      <c r="B6" t="s">
        <v>47</v>
      </c>
      <c r="C6" t="s">
        <v>72</v>
      </c>
      <c r="D6">
        <v>200</v>
      </c>
      <c r="E6">
        <v>31</v>
      </c>
    </row>
    <row r="7" spans="1:5" x14ac:dyDescent="0.25">
      <c r="A7" t="s">
        <v>48</v>
      </c>
      <c r="B7" t="s">
        <v>52</v>
      </c>
      <c r="C7" t="s">
        <v>73</v>
      </c>
      <c r="D7">
        <v>150</v>
      </c>
      <c r="E7">
        <v>55</v>
      </c>
    </row>
    <row r="8" spans="1:5" x14ac:dyDescent="0.25">
      <c r="A8" t="s">
        <v>49</v>
      </c>
      <c r="B8" t="s">
        <v>53</v>
      </c>
      <c r="C8" t="s">
        <v>74</v>
      </c>
      <c r="D8">
        <v>250</v>
      </c>
      <c r="E8">
        <v>0</v>
      </c>
    </row>
    <row r="9" spans="1:5" x14ac:dyDescent="0.25">
      <c r="A9" t="s">
        <v>50</v>
      </c>
      <c r="B9" t="s">
        <v>54</v>
      </c>
      <c r="C9" t="s">
        <v>75</v>
      </c>
      <c r="D9">
        <v>320</v>
      </c>
      <c r="E9">
        <v>16</v>
      </c>
    </row>
    <row r="10" spans="1:5" x14ac:dyDescent="0.25">
      <c r="A10" t="s">
        <v>51</v>
      </c>
      <c r="B10" t="s">
        <v>55</v>
      </c>
      <c r="C10" t="s">
        <v>76</v>
      </c>
      <c r="D10">
        <v>300</v>
      </c>
      <c r="E10">
        <v>19</v>
      </c>
    </row>
    <row r="11" spans="1:5" x14ac:dyDescent="0.25">
      <c r="A11" t="s">
        <v>56</v>
      </c>
      <c r="B11" t="s">
        <v>59</v>
      </c>
      <c r="C11" t="s">
        <v>77</v>
      </c>
      <c r="D11">
        <v>160</v>
      </c>
      <c r="E11">
        <v>50</v>
      </c>
    </row>
    <row r="12" spans="1:5" x14ac:dyDescent="0.25">
      <c r="A12" t="s">
        <v>57</v>
      </c>
      <c r="B12" t="s">
        <v>60</v>
      </c>
      <c r="C12" t="s">
        <v>78</v>
      </c>
      <c r="D12">
        <v>180</v>
      </c>
      <c r="E12">
        <v>17</v>
      </c>
    </row>
    <row r="13" spans="1:5" x14ac:dyDescent="0.25">
      <c r="A13" t="s">
        <v>58</v>
      </c>
      <c r="B13" t="s">
        <v>61</v>
      </c>
      <c r="C13" t="s">
        <v>79</v>
      </c>
      <c r="D13">
        <v>4300</v>
      </c>
      <c r="E1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60" zoomScaleNormal="160" workbookViewId="0">
      <selection activeCell="C13" sqref="C13"/>
    </sheetView>
  </sheetViews>
  <sheetFormatPr defaultRowHeight="15" x14ac:dyDescent="0.25"/>
  <cols>
    <col min="1" max="1" width="15.7109375" customWidth="1"/>
    <col min="4" max="4" width="11" bestFit="1" customWidth="1"/>
  </cols>
  <sheetData>
    <row r="1" spans="1:9" x14ac:dyDescent="0.25">
      <c r="A1" t="s">
        <v>80</v>
      </c>
      <c r="B1" t="s">
        <v>85</v>
      </c>
      <c r="C1" t="s">
        <v>88</v>
      </c>
    </row>
    <row r="2" spans="1:9" x14ac:dyDescent="0.25">
      <c r="A2" t="s">
        <v>81</v>
      </c>
      <c r="B2" t="s">
        <v>84</v>
      </c>
      <c r="C2">
        <v>44880</v>
      </c>
      <c r="D2" t="str">
        <f>LEFT(A2,FIND("_",A2,1)-1)</f>
        <v>peshwar</v>
      </c>
      <c r="E2" t="str">
        <f>RIGHT(A2,LEN(A2)-FIND("_",A2,1))</f>
        <v>44880</v>
      </c>
      <c r="F2">
        <f>FIND("_",A2,1)</f>
        <v>8</v>
      </c>
    </row>
    <row r="3" spans="1:9" x14ac:dyDescent="0.25">
      <c r="A3" t="s">
        <v>82</v>
      </c>
      <c r="B3" t="s">
        <v>86</v>
      </c>
      <c r="C3">
        <v>56789</v>
      </c>
      <c r="D3" t="str">
        <f t="shared" ref="D3:D4" si="0">LEFT(A3,FIND("_",A3,1)-1)</f>
        <v>islambad</v>
      </c>
      <c r="E3" t="str">
        <f t="shared" ref="E3:E4" si="1">RIGHT(A3,LEN(A3)-FIND("_",A3,1))</f>
        <v>56789</v>
      </c>
      <c r="F3">
        <f t="shared" ref="F3:F4" si="2">FIND("_",A3,1)</f>
        <v>9</v>
      </c>
      <c r="I3">
        <f>LEN(A2)</f>
        <v>13</v>
      </c>
    </row>
    <row r="4" spans="1:9" x14ac:dyDescent="0.25">
      <c r="A4" t="s">
        <v>83</v>
      </c>
      <c r="B4" t="s">
        <v>87</v>
      </c>
      <c r="C4">
        <v>45120</v>
      </c>
      <c r="D4" t="str">
        <f t="shared" si="0"/>
        <v>karachi</v>
      </c>
      <c r="E4" t="str">
        <f t="shared" si="1"/>
        <v>45120</v>
      </c>
      <c r="F4">
        <f t="shared" si="2"/>
        <v>8</v>
      </c>
      <c r="I4">
        <f t="shared" ref="I4:I5" si="3">LEN(A3)</f>
        <v>14</v>
      </c>
    </row>
    <row r="5" spans="1:9" x14ac:dyDescent="0.25">
      <c r="I5">
        <f t="shared" si="3"/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zoomScale="170" zoomScaleNormal="170" workbookViewId="0">
      <selection activeCell="C4" sqref="C4"/>
    </sheetView>
  </sheetViews>
  <sheetFormatPr defaultRowHeight="15" x14ac:dyDescent="0.25"/>
  <cols>
    <col min="1" max="1" width="13.42578125" bestFit="1" customWidth="1"/>
    <col min="2" max="2" width="17.28515625" bestFit="1" customWidth="1"/>
    <col min="3" max="3" width="13.28515625" bestFit="1" customWidth="1"/>
    <col min="4" max="4" width="12.7109375" bestFit="1" customWidth="1"/>
  </cols>
  <sheetData>
    <row r="1" spans="1:4" s="2" customFormat="1" x14ac:dyDescent="0.25">
      <c r="A1" s="2" t="s">
        <v>34</v>
      </c>
      <c r="B1" s="2" t="s">
        <v>35</v>
      </c>
      <c r="C1" s="2" t="s">
        <v>36</v>
      </c>
      <c r="D1" s="2" t="s">
        <v>37</v>
      </c>
    </row>
    <row r="2" spans="1:4" x14ac:dyDescent="0.25">
      <c r="C2" t="s">
        <v>89</v>
      </c>
      <c r="D2">
        <v>1234567890</v>
      </c>
    </row>
    <row r="3" spans="1:4" x14ac:dyDescent="0.25">
      <c r="C3" t="s">
        <v>89</v>
      </c>
    </row>
  </sheetData>
  <dataValidations count="4">
    <dataValidation type="textLength" allowBlank="1" showInputMessage="1" showErrorMessage="1" sqref="D1:D2 D4:D1048576">
      <formula1>10</formula1>
      <formula2>10</formula2>
    </dataValidation>
    <dataValidation type="textLength" allowBlank="1" showInputMessage="1" showErrorMessage="1" errorTitle="wrong" error="please enter ten digits" sqref="D3">
      <formula1>10</formula1>
      <formula2>10</formula2>
    </dataValidation>
    <dataValidation type="textLength" errorStyle="warning" allowBlank="1" showInputMessage="1" showErrorMessage="1" errorTitle="incorrect" error="you are incorrect please enter 10 digits._x000a_" sqref="C1 C3:C1048576">
      <formula1>12</formula1>
      <formula2>12</formula2>
    </dataValidation>
    <dataValidation type="list" errorStyle="warning" allowBlank="1" showInputMessage="1" showErrorMessage="1" errorTitle="incorrect" error="you are incorrect please enter 10 digits._x000a_" sqref="C2">
      <formula1>"12"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="140" zoomScaleNormal="140" workbookViewId="0">
      <selection activeCell="D15" sqref="D15"/>
    </sheetView>
  </sheetViews>
  <sheetFormatPr defaultRowHeight="15" x14ac:dyDescent="0.25"/>
  <cols>
    <col min="2" max="2" width="13" customWidth="1"/>
    <col min="3" max="3" width="14.140625" customWidth="1"/>
    <col min="5" max="5" width="14.85546875" customWidth="1"/>
    <col min="6" max="6" width="11.85546875" customWidth="1"/>
    <col min="8" max="8" width="18.42578125" customWidth="1"/>
    <col min="9" max="9" width="13.5703125" customWidth="1"/>
  </cols>
  <sheetData>
    <row r="1" spans="1:9" s="3" customFormat="1" x14ac:dyDescent="0.25">
      <c r="A1" s="12" t="s">
        <v>90</v>
      </c>
      <c r="B1" s="12" t="s">
        <v>91</v>
      </c>
      <c r="C1" s="12" t="s">
        <v>36</v>
      </c>
      <c r="D1" s="12" t="s">
        <v>92</v>
      </c>
      <c r="E1" s="12" t="s">
        <v>93</v>
      </c>
      <c r="F1" s="12" t="s">
        <v>94</v>
      </c>
      <c r="H1" s="4" t="s">
        <v>108</v>
      </c>
      <c r="I1" s="5"/>
    </row>
    <row r="2" spans="1:9" x14ac:dyDescent="0.25">
      <c r="A2" s="13" t="s">
        <v>22</v>
      </c>
      <c r="B2" s="13" t="s">
        <v>99</v>
      </c>
      <c r="C2" s="13" t="s">
        <v>32</v>
      </c>
      <c r="D2" s="13">
        <f ca="1">RANDBETWEEN(40000,70000)</f>
        <v>68599</v>
      </c>
      <c r="E2" s="13" t="str">
        <f ca="1">IF(D2&gt;=50000,"completed","incomplete")</f>
        <v>completed</v>
      </c>
      <c r="F2" s="13">
        <f ca="1">IF(D2&gt;75000,D2*20%,IF(D2&gt;50000,D2*15%,10%))</f>
        <v>10289.85</v>
      </c>
      <c r="H2" s="6" t="s">
        <v>109</v>
      </c>
      <c r="I2" s="8" t="s">
        <v>112</v>
      </c>
    </row>
    <row r="3" spans="1:9" x14ac:dyDescent="0.25">
      <c r="A3" s="13" t="s">
        <v>23</v>
      </c>
      <c r="B3" s="13" t="s">
        <v>100</v>
      </c>
      <c r="C3" s="13" t="s">
        <v>33</v>
      </c>
      <c r="D3" s="13">
        <f t="shared" ref="D3:D10" ca="1" si="0">RANDBETWEEN(40000,70000)</f>
        <v>67233</v>
      </c>
      <c r="E3" s="13" t="str">
        <f t="shared" ref="E3:E10" ca="1" si="1">IF(D3&gt;=50000,"completed","incomplete")</f>
        <v>completed</v>
      </c>
      <c r="F3" s="13">
        <f t="shared" ref="F3:F10" ca="1" si="2">IF(D3&gt;75000,D3*20%,IF(D3&gt;50000,D3*15%,10%))</f>
        <v>10084.949999999999</v>
      </c>
      <c r="H3" s="6" t="s">
        <v>110</v>
      </c>
      <c r="I3" s="8" t="s">
        <v>113</v>
      </c>
    </row>
    <row r="4" spans="1:9" ht="15.75" thickBot="1" x14ac:dyDescent="0.3">
      <c r="A4" s="13" t="s">
        <v>24</v>
      </c>
      <c r="B4" s="13" t="s">
        <v>101</v>
      </c>
      <c r="C4" s="13" t="s">
        <v>92</v>
      </c>
      <c r="D4" s="13">
        <f t="shared" ca="1" si="0"/>
        <v>67173</v>
      </c>
      <c r="E4" s="13" t="str">
        <f t="shared" ca="1" si="1"/>
        <v>completed</v>
      </c>
      <c r="F4" s="13">
        <f t="shared" ca="1" si="2"/>
        <v>10075.949999999999</v>
      </c>
      <c r="H4" s="9" t="s">
        <v>111</v>
      </c>
      <c r="I4" s="10" t="s">
        <v>114</v>
      </c>
    </row>
    <row r="5" spans="1:9" x14ac:dyDescent="0.25">
      <c r="A5" s="13" t="s">
        <v>25</v>
      </c>
      <c r="B5" s="13" t="s">
        <v>102</v>
      </c>
      <c r="C5" s="13" t="s">
        <v>32</v>
      </c>
      <c r="D5" s="13">
        <f t="shared" ca="1" si="0"/>
        <v>47921</v>
      </c>
      <c r="E5" s="13" t="str">
        <f t="shared" ca="1" si="1"/>
        <v>incomplete</v>
      </c>
      <c r="F5" s="13">
        <f t="shared" ca="1" si="2"/>
        <v>0.1</v>
      </c>
    </row>
    <row r="6" spans="1:9" x14ac:dyDescent="0.25">
      <c r="A6" s="13" t="s">
        <v>26</v>
      </c>
      <c r="B6" s="13" t="s">
        <v>103</v>
      </c>
      <c r="C6" s="13" t="s">
        <v>33</v>
      </c>
      <c r="D6" s="13">
        <v>750000</v>
      </c>
      <c r="E6" s="13" t="str">
        <f t="shared" si="1"/>
        <v>completed</v>
      </c>
      <c r="F6" s="14">
        <f t="shared" si="2"/>
        <v>150000</v>
      </c>
      <c r="G6" s="7"/>
    </row>
    <row r="7" spans="1:9" x14ac:dyDescent="0.25">
      <c r="A7" s="13" t="s">
        <v>95</v>
      </c>
      <c r="B7" s="13" t="s">
        <v>104</v>
      </c>
      <c r="C7" s="13" t="s">
        <v>33</v>
      </c>
      <c r="D7" s="13">
        <f t="shared" ca="1" si="0"/>
        <v>48859</v>
      </c>
      <c r="E7" s="13" t="str">
        <f t="shared" ca="1" si="1"/>
        <v>incomplete</v>
      </c>
      <c r="F7" s="13">
        <f t="shared" ca="1" si="2"/>
        <v>0.1</v>
      </c>
      <c r="H7" s="3" t="s">
        <v>115</v>
      </c>
    </row>
    <row r="8" spans="1:9" x14ac:dyDescent="0.25">
      <c r="A8" s="13" t="s">
        <v>96</v>
      </c>
      <c r="B8" s="13" t="s">
        <v>105</v>
      </c>
      <c r="C8" s="13" t="s">
        <v>92</v>
      </c>
      <c r="D8" s="13">
        <f t="shared" ca="1" si="0"/>
        <v>52519</v>
      </c>
      <c r="E8" s="13" t="str">
        <f t="shared" ca="1" si="1"/>
        <v>completed</v>
      </c>
      <c r="F8" s="13">
        <f t="shared" ca="1" si="2"/>
        <v>7877.8499999999995</v>
      </c>
      <c r="H8" t="s">
        <v>92</v>
      </c>
      <c r="I8" t="s">
        <v>116</v>
      </c>
    </row>
    <row r="9" spans="1:9" x14ac:dyDescent="0.25">
      <c r="A9" s="13" t="s">
        <v>97</v>
      </c>
      <c r="B9" s="13" t="s">
        <v>106</v>
      </c>
      <c r="C9" s="13" t="s">
        <v>32</v>
      </c>
      <c r="D9" s="13">
        <f ca="1">RANDBETWEEN(40000,70000)</f>
        <v>68938</v>
      </c>
      <c r="E9" s="13" t="str">
        <f t="shared" ca="1" si="1"/>
        <v>completed</v>
      </c>
      <c r="F9" s="13">
        <f t="shared" ca="1" si="2"/>
        <v>10340.699999999999</v>
      </c>
      <c r="H9" t="s">
        <v>117</v>
      </c>
      <c r="I9" s="11">
        <v>0.2</v>
      </c>
    </row>
    <row r="10" spans="1:9" x14ac:dyDescent="0.25">
      <c r="A10" s="13" t="s">
        <v>98</v>
      </c>
      <c r="B10" s="13" t="s">
        <v>107</v>
      </c>
      <c r="C10" s="13" t="s">
        <v>33</v>
      </c>
      <c r="D10" s="13">
        <f t="shared" ca="1" si="0"/>
        <v>66574</v>
      </c>
      <c r="E10" s="13" t="str">
        <f t="shared" ca="1" si="1"/>
        <v>completed</v>
      </c>
      <c r="F10" s="13">
        <f t="shared" ca="1" si="2"/>
        <v>9986.1</v>
      </c>
      <c r="H10" t="s">
        <v>118</v>
      </c>
      <c r="I10" s="11">
        <v>0.15</v>
      </c>
    </row>
    <row r="11" spans="1:9" x14ac:dyDescent="0.25">
      <c r="H11" t="s">
        <v>111</v>
      </c>
      <c r="I11" s="11">
        <v>0.1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="140" zoomScaleNormal="140" workbookViewId="0">
      <selection activeCell="E2" sqref="E2"/>
    </sheetView>
  </sheetViews>
  <sheetFormatPr defaultRowHeight="15" x14ac:dyDescent="0.25"/>
  <cols>
    <col min="1" max="1" width="13.7109375" customWidth="1"/>
    <col min="2" max="2" width="13.140625" customWidth="1"/>
    <col min="3" max="3" width="16.7109375" customWidth="1"/>
    <col min="4" max="4" width="12.7109375" style="15" bestFit="1" customWidth="1"/>
    <col min="5" max="5" width="12" customWidth="1"/>
    <col min="6" max="6" width="13.42578125" customWidth="1"/>
    <col min="10" max="10" width="12.85546875" customWidth="1"/>
  </cols>
  <sheetData>
    <row r="1" spans="1:10" s="3" customFormat="1" x14ac:dyDescent="0.25">
      <c r="A1" s="12" t="s">
        <v>119</v>
      </c>
      <c r="B1" s="12" t="s">
        <v>36</v>
      </c>
      <c r="C1" s="12" t="s">
        <v>120</v>
      </c>
      <c r="D1" s="16" t="s">
        <v>121</v>
      </c>
      <c r="E1" s="12" t="s">
        <v>136</v>
      </c>
      <c r="F1" s="12" t="s">
        <v>136</v>
      </c>
    </row>
    <row r="2" spans="1:10" x14ac:dyDescent="0.25">
      <c r="A2" s="13" t="s">
        <v>122</v>
      </c>
      <c r="B2" s="13" t="s">
        <v>133</v>
      </c>
      <c r="C2" s="13">
        <v>5</v>
      </c>
      <c r="D2" s="17">
        <f ca="1">RANDBETWEEN(50000,80000)</f>
        <v>59649</v>
      </c>
      <c r="E2" s="13" t="str">
        <f>IF(OR(B2="FINANCE",C2&gt;=5),"YES","NO")</f>
        <v>YES</v>
      </c>
      <c r="F2" s="13" t="str">
        <f>IF(AND(B2="FINANCE",C2&gt;=5),"YES","NO")</f>
        <v>NO</v>
      </c>
      <c r="H2" s="45" t="s">
        <v>134</v>
      </c>
      <c r="I2" s="45"/>
      <c r="J2" s="13"/>
    </row>
    <row r="3" spans="1:10" x14ac:dyDescent="0.25">
      <c r="A3" s="13" t="s">
        <v>123</v>
      </c>
      <c r="B3" s="13" t="s">
        <v>33</v>
      </c>
      <c r="C3" s="13">
        <v>5</v>
      </c>
      <c r="D3" s="17">
        <f t="shared" ref="D3:D12" ca="1" si="0">RANDBETWEEN(50000,80000)</f>
        <v>55727</v>
      </c>
      <c r="E3" s="13" t="str">
        <f t="shared" ref="E3:E12" si="1">IF(OR(B3="FINANCE",C3&gt;=5),"YES","NO")</f>
        <v>YES</v>
      </c>
      <c r="F3" s="13" t="str">
        <f t="shared" ref="F3:F12" si="2">IF(AND(B3="FINANCE",C3&gt;=5),"YES","NO")</f>
        <v>NO</v>
      </c>
      <c r="H3" s="13"/>
      <c r="I3" s="13"/>
      <c r="J3" s="13"/>
    </row>
    <row r="4" spans="1:10" x14ac:dyDescent="0.25">
      <c r="A4" s="13" t="s">
        <v>124</v>
      </c>
      <c r="B4" s="13" t="s">
        <v>92</v>
      </c>
      <c r="C4" s="13">
        <v>6</v>
      </c>
      <c r="D4" s="17">
        <f t="shared" ca="1" si="0"/>
        <v>71810</v>
      </c>
      <c r="E4" s="13" t="str">
        <f t="shared" si="1"/>
        <v>YES</v>
      </c>
      <c r="F4" s="13" t="str">
        <f t="shared" si="2"/>
        <v>NO</v>
      </c>
      <c r="G4" s="18" t="str">
        <f>H4&amp;" "&amp;I4</f>
        <v xml:space="preserve">BOTH </v>
      </c>
      <c r="H4" s="43" t="s">
        <v>135</v>
      </c>
      <c r="I4" s="44"/>
      <c r="J4" s="13" t="s">
        <v>136</v>
      </c>
    </row>
    <row r="5" spans="1:10" x14ac:dyDescent="0.25">
      <c r="A5" s="13" t="s">
        <v>125</v>
      </c>
      <c r="B5" s="13" t="s">
        <v>133</v>
      </c>
      <c r="C5" s="13">
        <v>7</v>
      </c>
      <c r="D5" s="17">
        <f t="shared" ca="1" si="0"/>
        <v>61872</v>
      </c>
      <c r="E5" s="13" t="str">
        <f t="shared" si="1"/>
        <v>YES</v>
      </c>
      <c r="F5" s="13" t="str">
        <f t="shared" si="2"/>
        <v>NO</v>
      </c>
      <c r="G5" s="18"/>
      <c r="H5" s="13" t="s">
        <v>32</v>
      </c>
      <c r="I5" s="13" t="s">
        <v>141</v>
      </c>
      <c r="J5" s="13" t="s">
        <v>140</v>
      </c>
    </row>
    <row r="6" spans="1:10" x14ac:dyDescent="0.25">
      <c r="A6" s="13" t="s">
        <v>126</v>
      </c>
      <c r="B6" s="13" t="s">
        <v>33</v>
      </c>
      <c r="C6" s="13">
        <v>7</v>
      </c>
      <c r="D6" s="17">
        <f t="shared" ca="1" si="0"/>
        <v>77591</v>
      </c>
      <c r="E6" s="13" t="str">
        <f t="shared" si="1"/>
        <v>YES</v>
      </c>
      <c r="F6" s="13" t="str">
        <f t="shared" si="2"/>
        <v>NO</v>
      </c>
    </row>
    <row r="7" spans="1:10" x14ac:dyDescent="0.25">
      <c r="A7" s="13" t="s">
        <v>127</v>
      </c>
      <c r="B7" s="13" t="s">
        <v>92</v>
      </c>
      <c r="C7" s="13">
        <v>9</v>
      </c>
      <c r="D7" s="17">
        <f t="shared" ca="1" si="0"/>
        <v>78851</v>
      </c>
      <c r="E7" s="13" t="str">
        <f t="shared" si="1"/>
        <v>YES</v>
      </c>
      <c r="F7" s="13" t="str">
        <f t="shared" si="2"/>
        <v>NO</v>
      </c>
      <c r="H7" s="43" t="s">
        <v>137</v>
      </c>
      <c r="I7" s="43"/>
      <c r="J7" s="13" t="s">
        <v>136</v>
      </c>
    </row>
    <row r="8" spans="1:10" x14ac:dyDescent="0.25">
      <c r="A8" s="13" t="s">
        <v>128</v>
      </c>
      <c r="B8" s="13" t="s">
        <v>33</v>
      </c>
      <c r="C8" s="13">
        <v>5</v>
      </c>
      <c r="D8" s="17">
        <f t="shared" ca="1" si="0"/>
        <v>61996</v>
      </c>
      <c r="E8" s="13" t="str">
        <f t="shared" si="1"/>
        <v>YES</v>
      </c>
      <c r="F8" s="13" t="str">
        <f t="shared" si="2"/>
        <v>NO</v>
      </c>
      <c r="H8" s="13" t="s">
        <v>32</v>
      </c>
      <c r="I8" s="13" t="s">
        <v>138</v>
      </c>
      <c r="J8" s="13" t="s">
        <v>139</v>
      </c>
    </row>
    <row r="9" spans="1:10" x14ac:dyDescent="0.25">
      <c r="A9" s="13" t="s">
        <v>129</v>
      </c>
      <c r="B9" s="13" t="s">
        <v>133</v>
      </c>
      <c r="C9" s="13">
        <v>6</v>
      </c>
      <c r="D9" s="17">
        <f t="shared" ca="1" si="0"/>
        <v>76811</v>
      </c>
      <c r="E9" s="13" t="str">
        <f t="shared" si="1"/>
        <v>YES</v>
      </c>
      <c r="F9" s="13" t="str">
        <f t="shared" si="2"/>
        <v>NO</v>
      </c>
    </row>
    <row r="10" spans="1:10" x14ac:dyDescent="0.25">
      <c r="A10" s="13" t="s">
        <v>130</v>
      </c>
      <c r="B10" s="13" t="s">
        <v>92</v>
      </c>
      <c r="C10" s="13">
        <v>8</v>
      </c>
      <c r="D10" s="17">
        <f t="shared" ca="1" si="0"/>
        <v>69647</v>
      </c>
      <c r="E10" s="13" t="str">
        <f t="shared" si="1"/>
        <v>YES</v>
      </c>
      <c r="F10" s="13" t="str">
        <f t="shared" si="2"/>
        <v>NO</v>
      </c>
    </row>
    <row r="11" spans="1:10" x14ac:dyDescent="0.25">
      <c r="A11" s="13" t="s">
        <v>131</v>
      </c>
      <c r="B11" s="13" t="s">
        <v>133</v>
      </c>
      <c r="C11" s="13">
        <v>4</v>
      </c>
      <c r="D11" s="17">
        <f t="shared" ca="1" si="0"/>
        <v>58593</v>
      </c>
      <c r="E11" s="13" t="str">
        <f t="shared" si="1"/>
        <v>NO</v>
      </c>
      <c r="F11" s="13" t="str">
        <f t="shared" si="2"/>
        <v>NO</v>
      </c>
    </row>
    <row r="12" spans="1:10" x14ac:dyDescent="0.25">
      <c r="A12" s="13" t="s">
        <v>132</v>
      </c>
      <c r="B12" s="13" t="s">
        <v>33</v>
      </c>
      <c r="C12" s="13">
        <v>5</v>
      </c>
      <c r="D12" s="17">
        <f t="shared" ca="1" si="0"/>
        <v>64830</v>
      </c>
      <c r="E12" s="13" t="str">
        <f t="shared" si="1"/>
        <v>YES</v>
      </c>
      <c r="F12" s="13" t="str">
        <f t="shared" si="2"/>
        <v>NO</v>
      </c>
    </row>
  </sheetData>
  <mergeCells count="3">
    <mergeCell ref="H4:I4"/>
    <mergeCell ref="H7:I7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zoomScale="130" zoomScaleNormal="130" workbookViewId="0">
      <selection sqref="A1:H14"/>
    </sheetView>
  </sheetViews>
  <sheetFormatPr defaultRowHeight="15" x14ac:dyDescent="0.25"/>
  <cols>
    <col min="1" max="1" width="11.7109375" customWidth="1"/>
    <col min="2" max="2" width="13.85546875" customWidth="1"/>
    <col min="3" max="3" width="13.42578125" customWidth="1"/>
    <col min="5" max="5" width="10.28515625" customWidth="1"/>
    <col min="6" max="6" width="9.85546875" customWidth="1"/>
    <col min="8" max="8" width="16" customWidth="1"/>
    <col min="10" max="10" width="9.85546875" customWidth="1"/>
    <col min="11" max="11" width="7.7109375" customWidth="1"/>
    <col min="12" max="12" width="7.42578125" customWidth="1"/>
    <col min="15" max="15" width="11.140625" customWidth="1"/>
    <col min="17" max="17" width="16" customWidth="1"/>
  </cols>
  <sheetData>
    <row r="1" spans="1:17" s="3" customFormat="1" x14ac:dyDescent="0.25">
      <c r="A1" s="3" t="s">
        <v>142</v>
      </c>
      <c r="B1" s="3" t="s">
        <v>169</v>
      </c>
      <c r="C1" s="3" t="s">
        <v>183</v>
      </c>
      <c r="D1" s="3" t="s">
        <v>155</v>
      </c>
      <c r="E1" s="3" t="s">
        <v>186</v>
      </c>
      <c r="F1" s="3" t="s">
        <v>200</v>
      </c>
      <c r="G1" s="3" t="s">
        <v>201</v>
      </c>
      <c r="H1" s="3" t="s">
        <v>202</v>
      </c>
    </row>
    <row r="2" spans="1:17" x14ac:dyDescent="0.25">
      <c r="A2" t="s">
        <v>146</v>
      </c>
      <c r="B2" t="s">
        <v>158</v>
      </c>
      <c r="C2" t="s">
        <v>170</v>
      </c>
      <c r="D2" t="s">
        <v>185</v>
      </c>
      <c r="E2" t="s">
        <v>190</v>
      </c>
      <c r="F2">
        <v>5</v>
      </c>
      <c r="G2">
        <v>3000</v>
      </c>
      <c r="H2">
        <v>34550</v>
      </c>
    </row>
    <row r="3" spans="1:17" x14ac:dyDescent="0.25">
      <c r="A3" t="s">
        <v>148</v>
      </c>
      <c r="B3" t="s">
        <v>157</v>
      </c>
      <c r="C3" t="s">
        <v>173</v>
      </c>
      <c r="D3" t="s">
        <v>185</v>
      </c>
      <c r="E3" t="s">
        <v>189</v>
      </c>
      <c r="F3">
        <v>8</v>
      </c>
      <c r="G3">
        <v>2250</v>
      </c>
      <c r="H3">
        <v>34000</v>
      </c>
    </row>
    <row r="4" spans="1:17" x14ac:dyDescent="0.25">
      <c r="A4" t="s">
        <v>152</v>
      </c>
      <c r="B4" t="s">
        <v>164</v>
      </c>
      <c r="C4" t="s">
        <v>179</v>
      </c>
      <c r="D4" t="s">
        <v>185</v>
      </c>
      <c r="E4" t="s">
        <v>196</v>
      </c>
      <c r="F4">
        <v>16</v>
      </c>
      <c r="G4">
        <v>500</v>
      </c>
      <c r="H4">
        <v>44070</v>
      </c>
      <c r="J4" s="3"/>
      <c r="K4" s="3"/>
      <c r="L4" s="3"/>
      <c r="M4" s="3"/>
      <c r="N4" s="3"/>
      <c r="O4" s="3"/>
      <c r="P4" s="3"/>
      <c r="Q4" s="3"/>
    </row>
    <row r="5" spans="1:17" x14ac:dyDescent="0.25">
      <c r="A5" t="s">
        <v>150</v>
      </c>
      <c r="B5" t="s">
        <v>162</v>
      </c>
      <c r="C5" t="s">
        <v>177</v>
      </c>
      <c r="D5" t="s">
        <v>184</v>
      </c>
      <c r="E5" t="s">
        <v>194</v>
      </c>
      <c r="F5">
        <v>6</v>
      </c>
      <c r="G5">
        <v>450</v>
      </c>
      <c r="H5">
        <v>30000</v>
      </c>
    </row>
    <row r="6" spans="1:17" x14ac:dyDescent="0.25">
      <c r="A6" t="s">
        <v>153</v>
      </c>
      <c r="B6" t="s">
        <v>165</v>
      </c>
      <c r="C6" t="s">
        <v>180</v>
      </c>
      <c r="D6" t="s">
        <v>184</v>
      </c>
      <c r="E6" t="s">
        <v>197</v>
      </c>
      <c r="F6">
        <v>17</v>
      </c>
      <c r="G6">
        <v>430</v>
      </c>
      <c r="H6">
        <v>61000</v>
      </c>
      <c r="I6">
        <f>COLUMNS(A1:G3+A:H)</f>
        <v>8</v>
      </c>
    </row>
    <row r="7" spans="1:17" x14ac:dyDescent="0.25">
      <c r="A7" t="s">
        <v>147</v>
      </c>
      <c r="B7" t="s">
        <v>159</v>
      </c>
      <c r="C7" t="s">
        <v>174</v>
      </c>
      <c r="D7" t="s">
        <v>185</v>
      </c>
      <c r="E7" t="s">
        <v>191</v>
      </c>
      <c r="F7">
        <v>8</v>
      </c>
      <c r="G7">
        <v>400</v>
      </c>
      <c r="H7">
        <v>24000</v>
      </c>
    </row>
    <row r="8" spans="1:17" x14ac:dyDescent="0.25">
      <c r="A8" t="s">
        <v>151</v>
      </c>
      <c r="B8" t="s">
        <v>166</v>
      </c>
      <c r="C8" t="s">
        <v>181</v>
      </c>
      <c r="D8" t="s">
        <v>184</v>
      </c>
      <c r="E8" t="s">
        <v>198</v>
      </c>
      <c r="F8">
        <v>19</v>
      </c>
      <c r="G8">
        <v>370</v>
      </c>
      <c r="H8">
        <v>70500</v>
      </c>
    </row>
    <row r="9" spans="1:17" x14ac:dyDescent="0.25">
      <c r="A9" t="s">
        <v>153</v>
      </c>
      <c r="B9" t="s">
        <v>163</v>
      </c>
      <c r="C9" t="s">
        <v>178</v>
      </c>
      <c r="D9" t="s">
        <v>184</v>
      </c>
      <c r="E9" t="s">
        <v>195</v>
      </c>
      <c r="F9">
        <v>10</v>
      </c>
      <c r="G9">
        <v>340</v>
      </c>
      <c r="H9">
        <v>33050</v>
      </c>
    </row>
    <row r="10" spans="1:17" x14ac:dyDescent="0.25">
      <c r="A10" t="s">
        <v>144</v>
      </c>
      <c r="B10" t="s">
        <v>160</v>
      </c>
      <c r="C10" t="s">
        <v>175</v>
      </c>
      <c r="D10" t="s">
        <v>185</v>
      </c>
      <c r="E10" t="s">
        <v>192</v>
      </c>
      <c r="F10">
        <v>4</v>
      </c>
      <c r="G10">
        <v>200</v>
      </c>
      <c r="H10">
        <v>20600</v>
      </c>
    </row>
    <row r="11" spans="1:17" x14ac:dyDescent="0.25">
      <c r="A11" t="s">
        <v>143</v>
      </c>
      <c r="B11" t="s">
        <v>156</v>
      </c>
      <c r="C11" t="s">
        <v>172</v>
      </c>
      <c r="D11" t="s">
        <v>184</v>
      </c>
      <c r="E11" t="s">
        <v>188</v>
      </c>
      <c r="F11">
        <v>9</v>
      </c>
      <c r="G11">
        <v>130</v>
      </c>
      <c r="H11">
        <v>7800</v>
      </c>
    </row>
    <row r="12" spans="1:17" x14ac:dyDescent="0.25">
      <c r="A12" t="s">
        <v>154</v>
      </c>
      <c r="B12" t="s">
        <v>167</v>
      </c>
      <c r="C12" t="s">
        <v>182</v>
      </c>
      <c r="D12" t="s">
        <v>185</v>
      </c>
      <c r="E12" t="s">
        <v>199</v>
      </c>
      <c r="F12">
        <v>12</v>
      </c>
      <c r="G12">
        <v>120</v>
      </c>
      <c r="H12">
        <v>20070</v>
      </c>
    </row>
    <row r="13" spans="1:17" x14ac:dyDescent="0.25">
      <c r="A13" t="s">
        <v>145</v>
      </c>
      <c r="B13" t="s">
        <v>168</v>
      </c>
      <c r="C13" t="s">
        <v>171</v>
      </c>
      <c r="D13" t="s">
        <v>184</v>
      </c>
      <c r="E13" t="s">
        <v>187</v>
      </c>
      <c r="F13">
        <v>9</v>
      </c>
      <c r="G13">
        <v>120</v>
      </c>
      <c r="H13">
        <v>23900</v>
      </c>
    </row>
    <row r="14" spans="1:17" x14ac:dyDescent="0.25">
      <c r="A14" t="s">
        <v>149</v>
      </c>
      <c r="B14" t="s">
        <v>161</v>
      </c>
      <c r="C14" t="s">
        <v>176</v>
      </c>
      <c r="D14" t="s">
        <v>185</v>
      </c>
      <c r="E14" t="s">
        <v>193</v>
      </c>
      <c r="F14">
        <v>15</v>
      </c>
      <c r="G14">
        <v>50</v>
      </c>
      <c r="H14">
        <v>18060</v>
      </c>
    </row>
  </sheetData>
  <autoFilter ref="A1:H14">
    <sortState ref="A2:H14">
      <sortCondition descending="1" ref="G2:G14"/>
    </sortState>
  </autoFilter>
  <sortState ref="A2:H14">
    <sortCondition ref="E2:E14"/>
    <sortCondition descending="1" ref="H2:H14"/>
  </sortState>
  <dataValidations count="1">
    <dataValidation type="list" allowBlank="1" showInputMessage="1" showErrorMessage="1" sqref="J2">
      <formula1>$B:$B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130" zoomScaleNormal="130" workbookViewId="0">
      <selection activeCell="I5" sqref="I5"/>
    </sheetView>
  </sheetViews>
  <sheetFormatPr defaultRowHeight="15" x14ac:dyDescent="0.25"/>
  <cols>
    <col min="1" max="2" width="13.7109375" customWidth="1"/>
    <col min="3" max="3" width="13.85546875" customWidth="1"/>
    <col min="4" max="4" width="12.7109375" style="27" bestFit="1" customWidth="1"/>
    <col min="5" max="6" width="13.28515625" customWidth="1"/>
    <col min="8" max="8" width="13.7109375" customWidth="1"/>
    <col min="9" max="9" width="15" customWidth="1"/>
  </cols>
  <sheetData>
    <row r="1" spans="1:11" s="21" customFormat="1" x14ac:dyDescent="0.25">
      <c r="A1" s="20" t="s">
        <v>34</v>
      </c>
      <c r="B1" s="20" t="s">
        <v>119</v>
      </c>
      <c r="C1" s="20" t="s">
        <v>36</v>
      </c>
      <c r="D1" s="25" t="s">
        <v>121</v>
      </c>
      <c r="E1" s="20" t="s">
        <v>203</v>
      </c>
      <c r="F1" s="23"/>
    </row>
    <row r="2" spans="1:11" x14ac:dyDescent="0.25">
      <c r="A2" s="13" t="s">
        <v>22</v>
      </c>
      <c r="B2" s="13" t="s">
        <v>204</v>
      </c>
      <c r="C2" s="13" t="s">
        <v>32</v>
      </c>
      <c r="D2" s="26">
        <v>74040</v>
      </c>
      <c r="E2" s="19" t="s">
        <v>215</v>
      </c>
      <c r="F2" s="24"/>
    </row>
    <row r="3" spans="1:11" x14ac:dyDescent="0.25">
      <c r="A3" s="13" t="s">
        <v>23</v>
      </c>
      <c r="B3" s="13" t="s">
        <v>205</v>
      </c>
      <c r="C3" s="13" t="s">
        <v>33</v>
      </c>
      <c r="D3" s="26">
        <v>60431</v>
      </c>
      <c r="E3" s="19" t="s">
        <v>225</v>
      </c>
      <c r="F3" s="24"/>
    </row>
    <row r="4" spans="1:11" x14ac:dyDescent="0.25">
      <c r="A4" s="13" t="s">
        <v>24</v>
      </c>
      <c r="B4" s="13" t="s">
        <v>206</v>
      </c>
      <c r="C4" s="13" t="s">
        <v>92</v>
      </c>
      <c r="D4" s="26">
        <v>79120</v>
      </c>
      <c r="E4" s="19" t="s">
        <v>224</v>
      </c>
      <c r="F4" s="24"/>
      <c r="H4" s="20" t="s">
        <v>34</v>
      </c>
      <c r="I4" t="s">
        <v>228</v>
      </c>
    </row>
    <row r="5" spans="1:11" x14ac:dyDescent="0.25">
      <c r="A5" s="13" t="s">
        <v>25</v>
      </c>
      <c r="B5" s="13" t="s">
        <v>207</v>
      </c>
      <c r="C5" s="13" t="s">
        <v>32</v>
      </c>
      <c r="D5" s="26">
        <v>61566</v>
      </c>
      <c r="E5" s="19" t="s">
        <v>223</v>
      </c>
      <c r="F5" s="24"/>
      <c r="H5" s="20" t="s">
        <v>119</v>
      </c>
      <c r="I5" t="str">
        <f>VLOOKUP($I$4,$A$1:$E$12,ROW()-3,0)</f>
        <v>EMPOLYEE_03</v>
      </c>
      <c r="K5">
        <f>ROW(H5)</f>
        <v>5</v>
      </c>
    </row>
    <row r="6" spans="1:11" x14ac:dyDescent="0.25">
      <c r="A6" s="13" t="s">
        <v>26</v>
      </c>
      <c r="B6" s="13" t="s">
        <v>208</v>
      </c>
      <c r="C6" s="13" t="s">
        <v>33</v>
      </c>
      <c r="D6" s="26">
        <v>70689</v>
      </c>
      <c r="E6" s="19" t="s">
        <v>222</v>
      </c>
      <c r="F6" s="24"/>
      <c r="H6" s="20" t="s">
        <v>36</v>
      </c>
      <c r="I6" t="str">
        <f>VLOOKUP($I$4,$A$1:$E$12,ROW()-3,0)</f>
        <v>SALES</v>
      </c>
    </row>
    <row r="7" spans="1:11" x14ac:dyDescent="0.25">
      <c r="A7" s="13" t="s">
        <v>95</v>
      </c>
      <c r="B7" s="13" t="s">
        <v>209</v>
      </c>
      <c r="C7" s="13" t="s">
        <v>92</v>
      </c>
      <c r="D7" s="26">
        <v>83144</v>
      </c>
      <c r="E7" s="19" t="s">
        <v>221</v>
      </c>
      <c r="F7" s="24"/>
      <c r="H7" s="20" t="s">
        <v>121</v>
      </c>
      <c r="I7">
        <f>VLOOKUP($I$4,$A$1:$E$12,ROW()-3,0)</f>
        <v>79120</v>
      </c>
    </row>
    <row r="8" spans="1:11" x14ac:dyDescent="0.25">
      <c r="A8" s="13" t="s">
        <v>96</v>
      </c>
      <c r="B8" s="13" t="s">
        <v>210</v>
      </c>
      <c r="C8" s="13" t="s">
        <v>33</v>
      </c>
      <c r="D8" s="26">
        <v>74711</v>
      </c>
      <c r="E8" s="19" t="s">
        <v>220</v>
      </c>
      <c r="F8" s="24"/>
      <c r="H8" s="20" t="s">
        <v>203</v>
      </c>
      <c r="I8" t="str">
        <f>VLOOKUP($I$4,$A$1:$E$12,ROW()-3,0)</f>
        <v>4_01_2021</v>
      </c>
    </row>
    <row r="9" spans="1:11" x14ac:dyDescent="0.25">
      <c r="A9" s="13" t="s">
        <v>97</v>
      </c>
      <c r="B9" s="13" t="s">
        <v>211</v>
      </c>
      <c r="C9" s="13" t="s">
        <v>32</v>
      </c>
      <c r="D9" s="26">
        <v>72762</v>
      </c>
      <c r="E9" s="19" t="s">
        <v>216</v>
      </c>
      <c r="F9" s="24"/>
    </row>
    <row r="10" spans="1:11" x14ac:dyDescent="0.25">
      <c r="A10" s="13" t="s">
        <v>98</v>
      </c>
      <c r="B10" s="13" t="s">
        <v>212</v>
      </c>
      <c r="C10" s="13" t="s">
        <v>92</v>
      </c>
      <c r="D10" s="26">
        <v>76564</v>
      </c>
      <c r="E10" s="19" t="s">
        <v>217</v>
      </c>
      <c r="F10" s="24"/>
    </row>
    <row r="11" spans="1:11" x14ac:dyDescent="0.25">
      <c r="A11" s="13" t="s">
        <v>226</v>
      </c>
      <c r="B11" s="13" t="s">
        <v>213</v>
      </c>
      <c r="C11" s="13" t="s">
        <v>33</v>
      </c>
      <c r="D11" s="26">
        <v>60670</v>
      </c>
      <c r="E11" s="19" t="s">
        <v>218</v>
      </c>
      <c r="F11" s="24"/>
    </row>
    <row r="12" spans="1:11" x14ac:dyDescent="0.25">
      <c r="A12" s="13" t="s">
        <v>227</v>
      </c>
      <c r="B12" s="13" t="s">
        <v>214</v>
      </c>
      <c r="C12" s="13" t="s">
        <v>92</v>
      </c>
      <c r="D12" s="26">
        <v>70438</v>
      </c>
      <c r="E12" s="19" t="s">
        <v>219</v>
      </c>
      <c r="F12" s="2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="140" zoomScaleNormal="140" workbookViewId="0">
      <selection sqref="A1:F12"/>
    </sheetView>
  </sheetViews>
  <sheetFormatPr defaultRowHeight="15" x14ac:dyDescent="0.25"/>
  <cols>
    <col min="2" max="2" width="14.7109375" customWidth="1"/>
    <col min="3" max="3" width="12.7109375" customWidth="1"/>
    <col min="4" max="4" width="12.7109375" bestFit="1" customWidth="1"/>
    <col min="5" max="5" width="16" customWidth="1"/>
    <col min="6" max="6" width="11" customWidth="1"/>
  </cols>
  <sheetData>
    <row r="1" spans="1:10" x14ac:dyDescent="0.25">
      <c r="A1" s="20" t="s">
        <v>34</v>
      </c>
      <c r="B1" s="20" t="s">
        <v>119</v>
      </c>
      <c r="C1" s="20" t="s">
        <v>36</v>
      </c>
      <c r="D1" s="25" t="s">
        <v>121</v>
      </c>
      <c r="E1" s="20" t="s">
        <v>203</v>
      </c>
      <c r="F1" s="20" t="s">
        <v>238</v>
      </c>
    </row>
    <row r="2" spans="1:10" x14ac:dyDescent="0.25">
      <c r="A2" s="13" t="s">
        <v>95</v>
      </c>
      <c r="B2" s="13" t="s">
        <v>209</v>
      </c>
      <c r="C2" s="13" t="s">
        <v>92</v>
      </c>
      <c r="D2" s="26">
        <v>83144</v>
      </c>
      <c r="E2" s="19" t="s">
        <v>221</v>
      </c>
      <c r="F2" s="13" t="s">
        <v>232</v>
      </c>
    </row>
    <row r="3" spans="1:10" x14ac:dyDescent="0.25">
      <c r="A3" s="13" t="s">
        <v>24</v>
      </c>
      <c r="B3" s="13" t="s">
        <v>206</v>
      </c>
      <c r="C3" s="13" t="s">
        <v>92</v>
      </c>
      <c r="D3" s="26">
        <v>79120</v>
      </c>
      <c r="E3" s="19" t="s">
        <v>224</v>
      </c>
      <c r="F3" s="13" t="s">
        <v>232</v>
      </c>
      <c r="I3" t="s">
        <v>237</v>
      </c>
    </row>
    <row r="4" spans="1:10" x14ac:dyDescent="0.25">
      <c r="A4" s="13" t="s">
        <v>98</v>
      </c>
      <c r="B4" s="13" t="s">
        <v>212</v>
      </c>
      <c r="C4" s="13" t="s">
        <v>92</v>
      </c>
      <c r="D4" s="26">
        <v>76564</v>
      </c>
      <c r="E4" s="19" t="s">
        <v>217</v>
      </c>
      <c r="F4" s="13" t="s">
        <v>232</v>
      </c>
      <c r="I4" s="24" t="s">
        <v>229</v>
      </c>
      <c r="J4" s="24" t="s">
        <v>230</v>
      </c>
    </row>
    <row r="5" spans="1:10" x14ac:dyDescent="0.25">
      <c r="A5" s="13" t="s">
        <v>96</v>
      </c>
      <c r="B5" s="13" t="s">
        <v>210</v>
      </c>
      <c r="C5" s="13" t="s">
        <v>33</v>
      </c>
      <c r="D5" s="26">
        <v>74711</v>
      </c>
      <c r="E5" s="19" t="s">
        <v>220</v>
      </c>
      <c r="F5" s="13" t="s">
        <v>233</v>
      </c>
      <c r="I5" s="28">
        <v>55000</v>
      </c>
      <c r="J5" s="28" t="s">
        <v>236</v>
      </c>
    </row>
    <row r="6" spans="1:10" x14ac:dyDescent="0.25">
      <c r="A6" s="13" t="s">
        <v>22</v>
      </c>
      <c r="B6" s="13" t="s">
        <v>204</v>
      </c>
      <c r="C6" s="13" t="s">
        <v>32</v>
      </c>
      <c r="D6" s="26">
        <v>74040</v>
      </c>
      <c r="E6" s="19" t="s">
        <v>215</v>
      </c>
      <c r="F6" s="13" t="s">
        <v>233</v>
      </c>
      <c r="I6" s="28">
        <v>60000</v>
      </c>
      <c r="J6" s="28" t="s">
        <v>235</v>
      </c>
    </row>
    <row r="7" spans="1:10" x14ac:dyDescent="0.25">
      <c r="A7" s="13" t="s">
        <v>97</v>
      </c>
      <c r="B7" s="13" t="s">
        <v>211</v>
      </c>
      <c r="C7" s="13" t="s">
        <v>32</v>
      </c>
      <c r="D7" s="26">
        <v>72762</v>
      </c>
      <c r="E7" s="19" t="s">
        <v>216</v>
      </c>
      <c r="F7" s="13" t="s">
        <v>233</v>
      </c>
      <c r="I7" s="28">
        <v>65000</v>
      </c>
      <c r="J7" s="28" t="s">
        <v>234</v>
      </c>
    </row>
    <row r="8" spans="1:10" x14ac:dyDescent="0.25">
      <c r="A8" s="13" t="s">
        <v>26</v>
      </c>
      <c r="B8" s="13" t="s">
        <v>208</v>
      </c>
      <c r="C8" s="13" t="s">
        <v>33</v>
      </c>
      <c r="D8" s="26">
        <v>70689</v>
      </c>
      <c r="E8" s="19" t="s">
        <v>222</v>
      </c>
      <c r="F8" s="13" t="s">
        <v>233</v>
      </c>
      <c r="I8" s="24">
        <v>70000</v>
      </c>
      <c r="J8" s="28" t="s">
        <v>233</v>
      </c>
    </row>
    <row r="9" spans="1:10" x14ac:dyDescent="0.25">
      <c r="A9" s="13" t="s">
        <v>227</v>
      </c>
      <c r="B9" s="13" t="s">
        <v>214</v>
      </c>
      <c r="C9" s="13" t="s">
        <v>92</v>
      </c>
      <c r="D9" s="26">
        <v>70438</v>
      </c>
      <c r="E9" s="19" t="s">
        <v>219</v>
      </c>
      <c r="F9" s="13" t="s">
        <v>233</v>
      </c>
      <c r="I9" s="24">
        <v>75000</v>
      </c>
      <c r="J9" s="24" t="s">
        <v>232</v>
      </c>
    </row>
    <row r="10" spans="1:10" x14ac:dyDescent="0.25">
      <c r="A10" s="13" t="s">
        <v>25</v>
      </c>
      <c r="B10" s="13" t="s">
        <v>207</v>
      </c>
      <c r="C10" s="13" t="s">
        <v>32</v>
      </c>
      <c r="D10" s="26">
        <v>61566</v>
      </c>
      <c r="E10" s="19" t="s">
        <v>223</v>
      </c>
      <c r="F10" s="13" t="s">
        <v>235</v>
      </c>
      <c r="I10" s="24">
        <v>85000</v>
      </c>
      <c r="J10" s="24" t="s">
        <v>231</v>
      </c>
    </row>
    <row r="11" spans="1:10" x14ac:dyDescent="0.25">
      <c r="A11" s="13" t="s">
        <v>226</v>
      </c>
      <c r="B11" s="13" t="s">
        <v>213</v>
      </c>
      <c r="C11" s="13" t="s">
        <v>33</v>
      </c>
      <c r="D11" s="26">
        <v>60670</v>
      </c>
      <c r="E11" s="19" t="s">
        <v>218</v>
      </c>
      <c r="F11" s="13" t="s">
        <v>235</v>
      </c>
    </row>
    <row r="12" spans="1:10" x14ac:dyDescent="0.25">
      <c r="A12" s="13" t="s">
        <v>23</v>
      </c>
      <c r="B12" s="13" t="s">
        <v>205</v>
      </c>
      <c r="C12" s="13" t="s">
        <v>33</v>
      </c>
      <c r="D12" s="26">
        <v>60431</v>
      </c>
      <c r="E12" s="19" t="s">
        <v>225</v>
      </c>
      <c r="F12" s="13" t="s">
        <v>235</v>
      </c>
    </row>
  </sheetData>
  <sortState ref="I5:J10">
    <sortCondition descending="1" ref="J5:J10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10" zoomScaleNormal="110" workbookViewId="0">
      <selection activeCell="H13" sqref="H13"/>
    </sheetView>
  </sheetViews>
  <sheetFormatPr defaultRowHeight="15" x14ac:dyDescent="0.25"/>
  <cols>
    <col min="1" max="1" width="14" customWidth="1"/>
    <col min="2" max="2" width="13.7109375" customWidth="1"/>
    <col min="3" max="3" width="12.5703125" customWidth="1"/>
    <col min="4" max="4" width="13.85546875" customWidth="1"/>
    <col min="5" max="5" width="13.5703125" customWidth="1"/>
    <col min="8" max="8" width="13.140625" customWidth="1"/>
    <col min="9" max="9" width="13.42578125" customWidth="1"/>
  </cols>
  <sheetData>
    <row r="1" spans="1:9" x14ac:dyDescent="0.25">
      <c r="A1" s="20" t="s">
        <v>34</v>
      </c>
      <c r="B1" s="20" t="s">
        <v>119</v>
      </c>
      <c r="C1" s="20" t="s">
        <v>36</v>
      </c>
      <c r="D1" s="25" t="s">
        <v>121</v>
      </c>
      <c r="E1" s="20" t="s">
        <v>203</v>
      </c>
    </row>
    <row r="2" spans="1:9" x14ac:dyDescent="0.25">
      <c r="A2" s="13" t="s">
        <v>23</v>
      </c>
      <c r="B2" s="13" t="s">
        <v>205</v>
      </c>
      <c r="C2" s="13" t="s">
        <v>33</v>
      </c>
      <c r="D2" s="26">
        <v>60431</v>
      </c>
      <c r="E2" s="19" t="s">
        <v>225</v>
      </c>
    </row>
    <row r="3" spans="1:9" x14ac:dyDescent="0.25">
      <c r="A3" s="13" t="s">
        <v>24</v>
      </c>
      <c r="B3" s="13" t="s">
        <v>206</v>
      </c>
      <c r="C3" s="13" t="s">
        <v>92</v>
      </c>
      <c r="D3" s="26">
        <v>79120</v>
      </c>
      <c r="E3" s="19" t="s">
        <v>224</v>
      </c>
    </row>
    <row r="4" spans="1:9" x14ac:dyDescent="0.25">
      <c r="A4" s="13" t="s">
        <v>25</v>
      </c>
      <c r="B4" s="13" t="s">
        <v>207</v>
      </c>
      <c r="C4" s="13" t="s">
        <v>32</v>
      </c>
      <c r="D4" s="26">
        <v>61566</v>
      </c>
      <c r="E4" s="19" t="s">
        <v>223</v>
      </c>
      <c r="H4" s="20" t="s">
        <v>34</v>
      </c>
      <c r="I4" t="s">
        <v>95</v>
      </c>
    </row>
    <row r="5" spans="1:9" x14ac:dyDescent="0.25">
      <c r="A5" s="13" t="s">
        <v>26</v>
      </c>
      <c r="B5" s="13" t="s">
        <v>208</v>
      </c>
      <c r="C5" s="13" t="s">
        <v>33</v>
      </c>
      <c r="D5" s="26">
        <v>70689</v>
      </c>
      <c r="E5" s="19" t="s">
        <v>222</v>
      </c>
      <c r="H5" s="20" t="s">
        <v>121</v>
      </c>
      <c r="I5">
        <f>VLOOKUP($I$4,$A$1:$E$11,MATCH($H$5,$A$1:$E$1,0),0)</f>
        <v>83144</v>
      </c>
    </row>
    <row r="6" spans="1:9" x14ac:dyDescent="0.25">
      <c r="A6" s="13" t="s">
        <v>95</v>
      </c>
      <c r="B6" s="13" t="s">
        <v>209</v>
      </c>
      <c r="C6" s="13" t="s">
        <v>92</v>
      </c>
      <c r="D6" s="26">
        <v>83144</v>
      </c>
      <c r="E6" s="19" t="s">
        <v>221</v>
      </c>
      <c r="H6" s="25" t="s">
        <v>36</v>
      </c>
      <c r="I6" t="str">
        <f>VLOOKUP($I$4,$A$1:$E$11,MATCH($H$6,$A$1:$E$1,0),0)</f>
        <v>SALES</v>
      </c>
    </row>
    <row r="7" spans="1:9" x14ac:dyDescent="0.25">
      <c r="A7" s="13" t="s">
        <v>96</v>
      </c>
      <c r="B7" s="13" t="s">
        <v>210</v>
      </c>
      <c r="C7" s="13" t="s">
        <v>33</v>
      </c>
      <c r="D7" s="26">
        <v>74711</v>
      </c>
      <c r="E7" s="19" t="s">
        <v>220</v>
      </c>
    </row>
    <row r="8" spans="1:9" x14ac:dyDescent="0.25">
      <c r="A8" s="13" t="s">
        <v>97</v>
      </c>
      <c r="B8" s="13" t="s">
        <v>211</v>
      </c>
      <c r="C8" s="13" t="s">
        <v>32</v>
      </c>
      <c r="D8" s="26">
        <v>72762</v>
      </c>
      <c r="E8" s="19" t="s">
        <v>216</v>
      </c>
      <c r="H8">
        <f>MATCH($H$5,A1:E1,0)</f>
        <v>4</v>
      </c>
    </row>
    <row r="9" spans="1:9" x14ac:dyDescent="0.25">
      <c r="A9" s="13" t="s">
        <v>98</v>
      </c>
      <c r="B9" s="13" t="s">
        <v>212</v>
      </c>
      <c r="C9" s="13" t="s">
        <v>92</v>
      </c>
      <c r="D9" s="26">
        <v>76564</v>
      </c>
      <c r="E9" s="19" t="s">
        <v>217</v>
      </c>
    </row>
    <row r="10" spans="1:9" x14ac:dyDescent="0.25">
      <c r="A10" s="13" t="s">
        <v>226</v>
      </c>
      <c r="B10" s="13" t="s">
        <v>213</v>
      </c>
      <c r="C10" s="13" t="s">
        <v>33</v>
      </c>
      <c r="D10" s="26">
        <v>60670</v>
      </c>
      <c r="E10" s="19" t="s">
        <v>218</v>
      </c>
      <c r="H10" t="s">
        <v>239</v>
      </c>
      <c r="I10">
        <f>ROW(H8)</f>
        <v>8</v>
      </c>
    </row>
    <row r="11" spans="1:9" x14ac:dyDescent="0.25">
      <c r="A11" s="13" t="s">
        <v>227</v>
      </c>
      <c r="B11" s="13" t="s">
        <v>214</v>
      </c>
      <c r="C11" s="13" t="s">
        <v>92</v>
      </c>
      <c r="D11" s="26">
        <v>70438</v>
      </c>
      <c r="E11" s="19" t="s">
        <v>219</v>
      </c>
      <c r="H11" t="s">
        <v>240</v>
      </c>
      <c r="I11">
        <v>3</v>
      </c>
    </row>
    <row r="13" spans="1:9" x14ac:dyDescent="0.25">
      <c r="H13" t="e">
        <f>INDEX(A2:E11,I10,I11,0)</f>
        <v>#VALUE!</v>
      </c>
    </row>
  </sheetData>
  <sortState ref="A2:E12">
    <sortCondition ref="A2:A12"/>
  </sortState>
  <dataValidations count="3">
    <dataValidation type="list" allowBlank="1" showInputMessage="1" showErrorMessage="1" sqref="H5">
      <formula1>$B$1:$E$1</formula1>
    </dataValidation>
    <dataValidation type="list" allowBlank="1" showInputMessage="1" showErrorMessage="1" sqref="I4">
      <formula1>$A$1:$A$11</formula1>
    </dataValidation>
    <dataValidation type="list" allowBlank="1" showInputMessage="1" showErrorMessage="1" sqref="H6">
      <formula1>$A$1:$E$1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120" zoomScaleNormal="120" workbookViewId="0">
      <selection activeCell="C11" sqref="C11"/>
    </sheetView>
  </sheetViews>
  <sheetFormatPr defaultRowHeight="15" x14ac:dyDescent="0.25"/>
  <cols>
    <col min="1" max="1" width="14.85546875" bestFit="1" customWidth="1"/>
    <col min="2" max="2" width="21.140625" customWidth="1"/>
    <col min="3" max="4" width="24.140625" customWidth="1"/>
    <col min="5" max="5" width="22.42578125" customWidth="1"/>
    <col min="6" max="6" width="15" bestFit="1" customWidth="1"/>
    <col min="7" max="7" width="21.5703125" customWidth="1"/>
  </cols>
  <sheetData>
    <row r="1" spans="1:7" s="3" customFormat="1" x14ac:dyDescent="0.25">
      <c r="A1" s="22" t="s">
        <v>241</v>
      </c>
      <c r="B1" s="22" t="s">
        <v>242</v>
      </c>
      <c r="C1" s="22" t="s">
        <v>243</v>
      </c>
      <c r="D1" s="22" t="s">
        <v>244</v>
      </c>
      <c r="E1" s="22" t="s">
        <v>246</v>
      </c>
      <c r="F1" s="22" t="s">
        <v>245</v>
      </c>
      <c r="G1" s="22" t="s">
        <v>247</v>
      </c>
    </row>
    <row r="2" spans="1:7" x14ac:dyDescent="0.25">
      <c r="A2" s="13" t="s">
        <v>248</v>
      </c>
      <c r="B2" s="13" t="s">
        <v>254</v>
      </c>
      <c r="C2" s="13" t="s">
        <v>277</v>
      </c>
      <c r="D2" s="13" t="s">
        <v>271</v>
      </c>
      <c r="E2" s="13" t="s">
        <v>269</v>
      </c>
      <c r="F2" s="13" t="s">
        <v>260</v>
      </c>
      <c r="G2" s="13" t="s">
        <v>261</v>
      </c>
    </row>
    <row r="3" spans="1:7" x14ac:dyDescent="0.25">
      <c r="A3" s="13" t="s">
        <v>252</v>
      </c>
      <c r="B3" s="13" t="s">
        <v>255</v>
      </c>
      <c r="C3" s="13" t="s">
        <v>278</v>
      </c>
      <c r="D3" s="13" t="s">
        <v>272</v>
      </c>
      <c r="E3" s="13" t="s">
        <v>285</v>
      </c>
      <c r="F3" s="13" t="s">
        <v>260</v>
      </c>
      <c r="G3" s="13" t="s">
        <v>262</v>
      </c>
    </row>
    <row r="4" spans="1:7" x14ac:dyDescent="0.25">
      <c r="A4" s="13" t="s">
        <v>249</v>
      </c>
      <c r="B4" s="13" t="s">
        <v>256</v>
      </c>
      <c r="C4" s="13" t="s">
        <v>279</v>
      </c>
      <c r="D4" s="13" t="s">
        <v>273</v>
      </c>
      <c r="E4" s="13" t="s">
        <v>266</v>
      </c>
      <c r="F4" s="13" t="s">
        <v>260</v>
      </c>
      <c r="G4" s="13" t="s">
        <v>282</v>
      </c>
    </row>
    <row r="5" spans="1:7" x14ac:dyDescent="0.25">
      <c r="A5" s="13" t="s">
        <v>251</v>
      </c>
      <c r="B5" s="13" t="s">
        <v>257</v>
      </c>
      <c r="C5" s="13" t="s">
        <v>280</v>
      </c>
      <c r="D5" s="13" t="s">
        <v>274</v>
      </c>
      <c r="E5" s="13" t="s">
        <v>267</v>
      </c>
      <c r="F5" s="13" t="s">
        <v>260</v>
      </c>
      <c r="G5" s="13" t="s">
        <v>263</v>
      </c>
    </row>
    <row r="6" spans="1:7" x14ac:dyDescent="0.25">
      <c r="A6" s="13" t="s">
        <v>250</v>
      </c>
      <c r="B6" s="13" t="s">
        <v>258</v>
      </c>
      <c r="C6" s="13" t="s">
        <v>281</v>
      </c>
      <c r="D6" s="13" t="s">
        <v>275</v>
      </c>
      <c r="E6" s="13" t="s">
        <v>268</v>
      </c>
      <c r="F6" s="13" t="s">
        <v>260</v>
      </c>
      <c r="G6" s="13" t="s">
        <v>264</v>
      </c>
    </row>
    <row r="7" spans="1:7" x14ac:dyDescent="0.25">
      <c r="A7" s="13" t="s">
        <v>253</v>
      </c>
      <c r="B7" s="13" t="s">
        <v>259</v>
      </c>
      <c r="C7" s="13" t="s">
        <v>283</v>
      </c>
      <c r="D7" s="13" t="s">
        <v>276</v>
      </c>
      <c r="E7" s="13" t="s">
        <v>270</v>
      </c>
      <c r="F7" s="13" t="s">
        <v>260</v>
      </c>
      <c r="G7" s="13" t="s">
        <v>265</v>
      </c>
    </row>
    <row r="10" spans="1:7" x14ac:dyDescent="0.25">
      <c r="B10" s="22" t="s">
        <v>241</v>
      </c>
      <c r="C10" t="s">
        <v>242</v>
      </c>
    </row>
    <row r="11" spans="1:7" x14ac:dyDescent="0.25">
      <c r="B11" t="s">
        <v>248</v>
      </c>
      <c r="C11" t="str">
        <f>INDEX(A1:G7,MATCH(B11,A1:A7,0),MATCH(C10,A1:G1,0))</f>
        <v>PROF:SUBHAN SAIB</v>
      </c>
    </row>
    <row r="14" spans="1:7" x14ac:dyDescent="0.25">
      <c r="B14" t="s">
        <v>284</v>
      </c>
      <c r="C14">
        <f>MATCH(B11,A2:A7,0)</f>
        <v>1</v>
      </c>
      <c r="D14">
        <f>C15</f>
        <v>2</v>
      </c>
    </row>
    <row r="15" spans="1:7" x14ac:dyDescent="0.25">
      <c r="B15" t="s">
        <v>240</v>
      </c>
      <c r="C15">
        <f>MATCH(C10,A1:G1,0)</f>
        <v>2</v>
      </c>
    </row>
  </sheetData>
  <dataValidations count="2">
    <dataValidation type="list" allowBlank="1" showInputMessage="1" showErrorMessage="1" sqref="B11">
      <formula1>$A$1:$A$7</formula1>
    </dataValidation>
    <dataValidation type="list" allowBlank="1" showInputMessage="1" showErrorMessage="1" sqref="C10">
      <formula1>$A$1:$G$1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topLeftCell="G1" workbookViewId="0">
      <selection activeCell="N1" sqref="N1"/>
    </sheetView>
  </sheetViews>
  <sheetFormatPr defaultRowHeight="15" x14ac:dyDescent="0.25"/>
  <cols>
    <col min="1" max="1" width="13.85546875" customWidth="1"/>
    <col min="2" max="2" width="13.42578125" customWidth="1"/>
    <col min="3" max="3" width="14.28515625" customWidth="1"/>
    <col min="4" max="4" width="16" customWidth="1"/>
    <col min="6" max="6" width="19.7109375" customWidth="1"/>
    <col min="7" max="7" width="20.7109375" customWidth="1"/>
    <col min="8" max="8" width="10.85546875" customWidth="1"/>
    <col min="10" max="10" width="15.85546875" customWidth="1"/>
    <col min="12" max="12" width="14.28515625" customWidth="1"/>
    <col min="13" max="13" width="21.28515625" customWidth="1"/>
    <col min="15" max="15" width="16.140625" customWidth="1"/>
    <col min="16" max="16" width="21.5703125" customWidth="1"/>
    <col min="19" max="19" width="15" customWidth="1"/>
    <col min="28" max="28" width="20.7109375" customWidth="1"/>
  </cols>
  <sheetData>
    <row r="1" spans="1:28" x14ac:dyDescent="0.25">
      <c r="A1" s="3" t="s">
        <v>142</v>
      </c>
      <c r="B1" s="3" t="s">
        <v>286</v>
      </c>
      <c r="C1" s="3" t="s">
        <v>169</v>
      </c>
      <c r="D1" s="3" t="s">
        <v>183</v>
      </c>
      <c r="E1" s="3" t="s">
        <v>155</v>
      </c>
      <c r="F1" s="3" t="s">
        <v>300</v>
      </c>
      <c r="G1" s="3" t="s">
        <v>186</v>
      </c>
      <c r="H1" s="3" t="s">
        <v>200</v>
      </c>
      <c r="I1" s="3" t="s">
        <v>201</v>
      </c>
      <c r="J1" s="3" t="s">
        <v>202</v>
      </c>
      <c r="L1" s="3" t="s">
        <v>169</v>
      </c>
      <c r="M1">
        <f>COUNTIF(C:C,L2)</f>
        <v>2</v>
      </c>
      <c r="O1" s="3" t="s">
        <v>300</v>
      </c>
      <c r="Z1" s="3" t="s">
        <v>155</v>
      </c>
      <c r="AB1" s="3" t="s">
        <v>186</v>
      </c>
    </row>
    <row r="2" spans="1:28" x14ac:dyDescent="0.25">
      <c r="A2" t="s">
        <v>146</v>
      </c>
      <c r="B2" t="s">
        <v>287</v>
      </c>
      <c r="C2" t="s">
        <v>158</v>
      </c>
      <c r="D2" t="s">
        <v>170</v>
      </c>
      <c r="E2" t="s">
        <v>185</v>
      </c>
      <c r="F2" t="s">
        <v>301</v>
      </c>
      <c r="G2" t="s">
        <v>190</v>
      </c>
      <c r="H2">
        <v>5</v>
      </c>
      <c r="I2">
        <v>3000</v>
      </c>
      <c r="J2">
        <v>34550</v>
      </c>
      <c r="L2" t="s">
        <v>158</v>
      </c>
      <c r="M2">
        <f t="shared" ref="M2:M14" si="0">COUNTIF(C:C,L3)</f>
        <v>2</v>
      </c>
      <c r="O2" t="s">
        <v>301</v>
      </c>
      <c r="Z2" t="s">
        <v>185</v>
      </c>
      <c r="AB2" t="s">
        <v>190</v>
      </c>
    </row>
    <row r="3" spans="1:28" x14ac:dyDescent="0.25">
      <c r="A3" t="s">
        <v>148</v>
      </c>
      <c r="B3" t="s">
        <v>288</v>
      </c>
      <c r="C3" t="s">
        <v>157</v>
      </c>
      <c r="D3" t="s">
        <v>173</v>
      </c>
      <c r="E3" t="s">
        <v>185</v>
      </c>
      <c r="F3" t="s">
        <v>301</v>
      </c>
      <c r="G3" t="s">
        <v>189</v>
      </c>
      <c r="H3">
        <v>8</v>
      </c>
      <c r="I3">
        <v>2250</v>
      </c>
      <c r="J3">
        <v>34000</v>
      </c>
      <c r="L3" t="s">
        <v>157</v>
      </c>
      <c r="M3">
        <f t="shared" si="0"/>
        <v>2</v>
      </c>
      <c r="O3" t="s">
        <v>302</v>
      </c>
      <c r="Z3" t="s">
        <v>184</v>
      </c>
      <c r="AB3" t="s">
        <v>189</v>
      </c>
    </row>
    <row r="4" spans="1:28" x14ac:dyDescent="0.25">
      <c r="A4" t="s">
        <v>152</v>
      </c>
      <c r="B4" t="s">
        <v>289</v>
      </c>
      <c r="C4" t="s">
        <v>164</v>
      </c>
      <c r="D4" t="s">
        <v>179</v>
      </c>
      <c r="E4" t="s">
        <v>185</v>
      </c>
      <c r="F4" t="s">
        <v>301</v>
      </c>
      <c r="G4" t="s">
        <v>196</v>
      </c>
      <c r="H4">
        <v>16</v>
      </c>
      <c r="I4">
        <v>500</v>
      </c>
      <c r="J4">
        <v>44070</v>
      </c>
      <c r="L4" t="s">
        <v>164</v>
      </c>
      <c r="M4">
        <f t="shared" si="0"/>
        <v>2</v>
      </c>
      <c r="O4" t="s">
        <v>303</v>
      </c>
      <c r="AB4" t="s">
        <v>196</v>
      </c>
    </row>
    <row r="5" spans="1:28" x14ac:dyDescent="0.25">
      <c r="A5" t="s">
        <v>150</v>
      </c>
      <c r="B5" t="s">
        <v>290</v>
      </c>
      <c r="C5" t="s">
        <v>162</v>
      </c>
      <c r="D5" t="s">
        <v>177</v>
      </c>
      <c r="E5" t="s">
        <v>184</v>
      </c>
      <c r="F5" t="s">
        <v>302</v>
      </c>
      <c r="G5" t="s">
        <v>194</v>
      </c>
      <c r="H5">
        <v>6</v>
      </c>
      <c r="I5">
        <v>450</v>
      </c>
      <c r="J5">
        <v>30000</v>
      </c>
      <c r="L5" t="s">
        <v>162</v>
      </c>
      <c r="M5">
        <f t="shared" si="0"/>
        <v>2</v>
      </c>
      <c r="O5" t="s">
        <v>336</v>
      </c>
      <c r="AB5" t="s">
        <v>194</v>
      </c>
    </row>
    <row r="6" spans="1:28" x14ac:dyDescent="0.25">
      <c r="A6" t="s">
        <v>153</v>
      </c>
      <c r="B6" t="s">
        <v>291</v>
      </c>
      <c r="C6" t="s">
        <v>165</v>
      </c>
      <c r="D6" t="s">
        <v>180</v>
      </c>
      <c r="E6" t="s">
        <v>184</v>
      </c>
      <c r="F6" t="s">
        <v>303</v>
      </c>
      <c r="G6" t="s">
        <v>197</v>
      </c>
      <c r="H6">
        <v>17</v>
      </c>
      <c r="I6">
        <v>430</v>
      </c>
      <c r="J6">
        <v>61000</v>
      </c>
      <c r="L6" t="s">
        <v>165</v>
      </c>
      <c r="M6">
        <f t="shared" si="0"/>
        <v>3</v>
      </c>
      <c r="O6" t="s">
        <v>337</v>
      </c>
      <c r="AB6" t="s">
        <v>197</v>
      </c>
    </row>
    <row r="7" spans="1:28" x14ac:dyDescent="0.25">
      <c r="A7" t="s">
        <v>147</v>
      </c>
      <c r="B7" t="s">
        <v>292</v>
      </c>
      <c r="C7" t="s">
        <v>159</v>
      </c>
      <c r="D7" t="s">
        <v>174</v>
      </c>
      <c r="E7" t="s">
        <v>185</v>
      </c>
      <c r="F7" t="s">
        <v>302</v>
      </c>
      <c r="G7" t="s">
        <v>191</v>
      </c>
      <c r="H7">
        <v>8</v>
      </c>
      <c r="I7">
        <v>400</v>
      </c>
      <c r="J7">
        <v>24000</v>
      </c>
      <c r="L7" t="s">
        <v>159</v>
      </c>
      <c r="M7">
        <f t="shared" si="0"/>
        <v>2</v>
      </c>
      <c r="O7" t="s">
        <v>338</v>
      </c>
      <c r="AB7" t="s">
        <v>191</v>
      </c>
    </row>
    <row r="8" spans="1:28" x14ac:dyDescent="0.25">
      <c r="A8" t="s">
        <v>151</v>
      </c>
      <c r="B8" t="s">
        <v>293</v>
      </c>
      <c r="C8" t="s">
        <v>166</v>
      </c>
      <c r="D8" t="s">
        <v>181</v>
      </c>
      <c r="E8" t="s">
        <v>184</v>
      </c>
      <c r="F8" t="s">
        <v>301</v>
      </c>
      <c r="G8" t="s">
        <v>198</v>
      </c>
      <c r="H8">
        <v>19</v>
      </c>
      <c r="I8">
        <v>370</v>
      </c>
      <c r="J8">
        <v>70500</v>
      </c>
      <c r="L8" t="s">
        <v>166</v>
      </c>
      <c r="M8">
        <f t="shared" si="0"/>
        <v>2</v>
      </c>
      <c r="O8" t="s">
        <v>339</v>
      </c>
      <c r="AB8" t="s">
        <v>198</v>
      </c>
    </row>
    <row r="9" spans="1:28" x14ac:dyDescent="0.25">
      <c r="A9" t="s">
        <v>153</v>
      </c>
      <c r="B9" t="s">
        <v>294</v>
      </c>
      <c r="C9" t="s">
        <v>163</v>
      </c>
      <c r="D9" t="s">
        <v>178</v>
      </c>
      <c r="E9" t="s">
        <v>184</v>
      </c>
      <c r="F9" t="s">
        <v>302</v>
      </c>
      <c r="G9" t="s">
        <v>195</v>
      </c>
      <c r="H9">
        <v>10</v>
      </c>
      <c r="I9">
        <v>340</v>
      </c>
      <c r="J9">
        <v>33050</v>
      </c>
      <c r="L9" t="s">
        <v>163</v>
      </c>
      <c r="M9">
        <f t="shared" si="0"/>
        <v>2</v>
      </c>
      <c r="O9" t="s">
        <v>340</v>
      </c>
      <c r="AB9" t="s">
        <v>195</v>
      </c>
    </row>
    <row r="10" spans="1:28" x14ac:dyDescent="0.25">
      <c r="A10" t="s">
        <v>144</v>
      </c>
      <c r="B10" t="s">
        <v>295</v>
      </c>
      <c r="C10" t="s">
        <v>160</v>
      </c>
      <c r="D10" t="s">
        <v>175</v>
      </c>
      <c r="E10" t="s">
        <v>185</v>
      </c>
      <c r="F10" t="s">
        <v>301</v>
      </c>
      <c r="G10" t="s">
        <v>192</v>
      </c>
      <c r="H10">
        <v>4</v>
      </c>
      <c r="I10">
        <v>200</v>
      </c>
      <c r="J10">
        <v>20600</v>
      </c>
      <c r="L10" t="s">
        <v>160</v>
      </c>
      <c r="M10">
        <f t="shared" si="0"/>
        <v>3</v>
      </c>
      <c r="O10" t="s">
        <v>341</v>
      </c>
      <c r="AB10" t="s">
        <v>192</v>
      </c>
    </row>
    <row r="11" spans="1:28" x14ac:dyDescent="0.25">
      <c r="A11" t="s">
        <v>143</v>
      </c>
      <c r="B11" t="s">
        <v>296</v>
      </c>
      <c r="C11" t="s">
        <v>156</v>
      </c>
      <c r="D11" t="s">
        <v>172</v>
      </c>
      <c r="E11" t="s">
        <v>184</v>
      </c>
      <c r="F11" t="s">
        <v>303</v>
      </c>
      <c r="G11" t="s">
        <v>188</v>
      </c>
      <c r="H11">
        <v>9</v>
      </c>
      <c r="I11">
        <v>130</v>
      </c>
      <c r="J11">
        <v>7800</v>
      </c>
      <c r="L11" t="s">
        <v>156</v>
      </c>
      <c r="M11">
        <f t="shared" si="0"/>
        <v>3</v>
      </c>
      <c r="O11" t="s">
        <v>342</v>
      </c>
      <c r="AB11" t="s">
        <v>188</v>
      </c>
    </row>
    <row r="12" spans="1:28" x14ac:dyDescent="0.25">
      <c r="A12" t="s">
        <v>154</v>
      </c>
      <c r="B12" t="s">
        <v>297</v>
      </c>
      <c r="C12" t="s">
        <v>167</v>
      </c>
      <c r="D12" t="s">
        <v>182</v>
      </c>
      <c r="E12" t="s">
        <v>185</v>
      </c>
      <c r="F12" t="s">
        <v>301</v>
      </c>
      <c r="G12" t="s">
        <v>199</v>
      </c>
      <c r="H12">
        <v>12</v>
      </c>
      <c r="I12">
        <v>120</v>
      </c>
      <c r="J12">
        <v>20070</v>
      </c>
      <c r="L12" t="s">
        <v>167</v>
      </c>
      <c r="M12">
        <f t="shared" si="0"/>
        <v>2</v>
      </c>
      <c r="O12" t="s">
        <v>343</v>
      </c>
      <c r="AB12" t="s">
        <v>199</v>
      </c>
    </row>
    <row r="13" spans="1:28" x14ac:dyDescent="0.25">
      <c r="A13" t="s">
        <v>149</v>
      </c>
      <c r="B13" t="s">
        <v>298</v>
      </c>
      <c r="C13" t="s">
        <v>168</v>
      </c>
      <c r="D13" t="s">
        <v>171</v>
      </c>
      <c r="E13" t="s">
        <v>184</v>
      </c>
      <c r="F13" t="s">
        <v>302</v>
      </c>
      <c r="G13" t="s">
        <v>187</v>
      </c>
      <c r="H13">
        <v>9</v>
      </c>
      <c r="I13">
        <v>120</v>
      </c>
      <c r="J13">
        <v>23900</v>
      </c>
      <c r="L13" t="s">
        <v>168</v>
      </c>
      <c r="M13">
        <f t="shared" si="0"/>
        <v>2</v>
      </c>
      <c r="AB13" t="s">
        <v>187</v>
      </c>
    </row>
    <row r="14" spans="1:28" x14ac:dyDescent="0.25">
      <c r="A14" t="s">
        <v>145</v>
      </c>
      <c r="B14" t="s">
        <v>299</v>
      </c>
      <c r="C14" t="s">
        <v>161</v>
      </c>
      <c r="D14" t="s">
        <v>176</v>
      </c>
      <c r="E14" t="s">
        <v>185</v>
      </c>
      <c r="F14" t="s">
        <v>302</v>
      </c>
      <c r="G14" t="s">
        <v>193</v>
      </c>
      <c r="H14">
        <v>15</v>
      </c>
      <c r="I14">
        <v>50</v>
      </c>
      <c r="J14">
        <v>18060</v>
      </c>
      <c r="L14" t="s">
        <v>161</v>
      </c>
      <c r="M14">
        <f t="shared" si="0"/>
        <v>0</v>
      </c>
      <c r="AB14" t="s">
        <v>193</v>
      </c>
    </row>
    <row r="15" spans="1:28" x14ac:dyDescent="0.25">
      <c r="A15" t="s">
        <v>304</v>
      </c>
      <c r="B15" t="s">
        <v>320</v>
      </c>
      <c r="C15" t="s">
        <v>158</v>
      </c>
      <c r="D15" t="s">
        <v>170</v>
      </c>
      <c r="E15" t="s">
        <v>185</v>
      </c>
      <c r="F15" t="s">
        <v>336</v>
      </c>
      <c r="G15" t="s">
        <v>344</v>
      </c>
      <c r="H15">
        <v>20</v>
      </c>
      <c r="I15">
        <v>250</v>
      </c>
      <c r="J15">
        <v>15000</v>
      </c>
      <c r="AB15" t="s">
        <v>344</v>
      </c>
    </row>
    <row r="16" spans="1:28" x14ac:dyDescent="0.25">
      <c r="A16" t="s">
        <v>319</v>
      </c>
      <c r="B16" t="s">
        <v>321</v>
      </c>
      <c r="C16" t="s">
        <v>157</v>
      </c>
      <c r="D16" t="s">
        <v>173</v>
      </c>
      <c r="E16" t="s">
        <v>185</v>
      </c>
      <c r="F16" t="s">
        <v>337</v>
      </c>
      <c r="G16" t="s">
        <v>345</v>
      </c>
      <c r="H16">
        <v>22</v>
      </c>
      <c r="I16">
        <v>230</v>
      </c>
      <c r="J16">
        <v>29560</v>
      </c>
      <c r="AB16" t="s">
        <v>345</v>
      </c>
    </row>
    <row r="17" spans="1:28" x14ac:dyDescent="0.25">
      <c r="A17" t="s">
        <v>318</v>
      </c>
      <c r="B17" t="s">
        <v>322</v>
      </c>
      <c r="C17" t="s">
        <v>164</v>
      </c>
      <c r="D17" t="s">
        <v>179</v>
      </c>
      <c r="E17" t="s">
        <v>185</v>
      </c>
      <c r="F17" t="s">
        <v>338</v>
      </c>
      <c r="G17" t="s">
        <v>345</v>
      </c>
      <c r="H17">
        <v>23</v>
      </c>
      <c r="I17">
        <v>80</v>
      </c>
      <c r="J17">
        <v>12900</v>
      </c>
      <c r="AB17" t="s">
        <v>346</v>
      </c>
    </row>
    <row r="18" spans="1:28" x14ac:dyDescent="0.25">
      <c r="A18" t="s">
        <v>317</v>
      </c>
      <c r="B18" t="s">
        <v>323</v>
      </c>
      <c r="C18" t="s">
        <v>162</v>
      </c>
      <c r="D18" t="s">
        <v>177</v>
      </c>
      <c r="E18" t="s">
        <v>184</v>
      </c>
      <c r="F18" t="s">
        <v>339</v>
      </c>
      <c r="G18" t="s">
        <v>346</v>
      </c>
      <c r="H18">
        <v>12</v>
      </c>
      <c r="I18">
        <v>700</v>
      </c>
      <c r="J18">
        <v>40360</v>
      </c>
      <c r="L18" s="3" t="s">
        <v>169</v>
      </c>
      <c r="M18" t="s">
        <v>301</v>
      </c>
      <c r="N18" t="s">
        <v>302</v>
      </c>
      <c r="O18" t="s">
        <v>303</v>
      </c>
      <c r="P18" t="s">
        <v>336</v>
      </c>
      <c r="Q18" t="s">
        <v>337</v>
      </c>
      <c r="R18" t="s">
        <v>338</v>
      </c>
      <c r="S18" t="s">
        <v>339</v>
      </c>
      <c r="T18" t="s">
        <v>340</v>
      </c>
      <c r="U18" t="s">
        <v>341</v>
      </c>
      <c r="V18" t="s">
        <v>342</v>
      </c>
      <c r="W18" t="s">
        <v>343</v>
      </c>
      <c r="X18" t="s">
        <v>343</v>
      </c>
      <c r="AB18" t="s">
        <v>347</v>
      </c>
    </row>
    <row r="19" spans="1:28" x14ac:dyDescent="0.25">
      <c r="A19" t="s">
        <v>316</v>
      </c>
      <c r="B19" t="s">
        <v>324</v>
      </c>
      <c r="C19" t="s">
        <v>165</v>
      </c>
      <c r="D19" t="s">
        <v>180</v>
      </c>
      <c r="E19" t="s">
        <v>184</v>
      </c>
      <c r="F19" t="s">
        <v>339</v>
      </c>
      <c r="G19" t="s">
        <v>347</v>
      </c>
      <c r="H19">
        <v>13</v>
      </c>
      <c r="I19">
        <v>760</v>
      </c>
      <c r="J19">
        <v>34056</v>
      </c>
      <c r="L19" t="s">
        <v>158</v>
      </c>
      <c r="M19">
        <f>COUNTIFS($C:$C,$L19,$F:$F,M$18)</f>
        <v>1</v>
      </c>
      <c r="N19">
        <f t="shared" ref="N19:X31" si="1">COUNTIFS($C:$C,$L19,$F:$F,N$18)</f>
        <v>0</v>
      </c>
      <c r="O19">
        <f t="shared" si="1"/>
        <v>0</v>
      </c>
      <c r="P19">
        <f t="shared" si="1"/>
        <v>1</v>
      </c>
      <c r="Q19">
        <f t="shared" si="1"/>
        <v>0</v>
      </c>
      <c r="R19">
        <f t="shared" si="1"/>
        <v>0</v>
      </c>
      <c r="S19">
        <f t="shared" si="1"/>
        <v>0</v>
      </c>
      <c r="T19">
        <f t="shared" si="1"/>
        <v>0</v>
      </c>
      <c r="U19">
        <f t="shared" si="1"/>
        <v>0</v>
      </c>
      <c r="V19">
        <f t="shared" si="1"/>
        <v>0</v>
      </c>
      <c r="W19">
        <f t="shared" si="1"/>
        <v>0</v>
      </c>
      <c r="X19">
        <f t="shared" si="1"/>
        <v>0</v>
      </c>
      <c r="AB19" t="s">
        <v>348</v>
      </c>
    </row>
    <row r="20" spans="1:28" x14ac:dyDescent="0.25">
      <c r="A20" t="s">
        <v>305</v>
      </c>
      <c r="B20" t="s">
        <v>325</v>
      </c>
      <c r="C20" t="s">
        <v>159</v>
      </c>
      <c r="D20" t="s">
        <v>174</v>
      </c>
      <c r="E20" t="s">
        <v>185</v>
      </c>
      <c r="F20" t="s">
        <v>338</v>
      </c>
      <c r="G20" t="s">
        <v>348</v>
      </c>
      <c r="H20">
        <v>25</v>
      </c>
      <c r="I20">
        <v>70</v>
      </c>
      <c r="J20">
        <v>13900</v>
      </c>
      <c r="L20" t="s">
        <v>157</v>
      </c>
      <c r="M20">
        <f t="shared" ref="M20:M31" si="2">COUNTIFS($C:$C,$L20,$F:$F,M$18)</f>
        <v>1</v>
      </c>
      <c r="N20">
        <f t="shared" si="1"/>
        <v>0</v>
      </c>
      <c r="O20">
        <f t="shared" si="1"/>
        <v>0</v>
      </c>
      <c r="P20">
        <f t="shared" si="1"/>
        <v>0</v>
      </c>
      <c r="Q20">
        <f t="shared" si="1"/>
        <v>1</v>
      </c>
      <c r="R20">
        <f t="shared" si="1"/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0</v>
      </c>
      <c r="W20">
        <f t="shared" si="1"/>
        <v>0</v>
      </c>
      <c r="X20">
        <f t="shared" si="1"/>
        <v>0</v>
      </c>
      <c r="AB20" t="s">
        <v>349</v>
      </c>
    </row>
    <row r="21" spans="1:28" x14ac:dyDescent="0.25">
      <c r="A21" t="s">
        <v>315</v>
      </c>
      <c r="B21" t="s">
        <v>326</v>
      </c>
      <c r="C21" t="s">
        <v>166</v>
      </c>
      <c r="D21" t="s">
        <v>181</v>
      </c>
      <c r="E21" t="s">
        <v>184</v>
      </c>
      <c r="F21" t="s">
        <v>336</v>
      </c>
      <c r="G21" t="s">
        <v>349</v>
      </c>
      <c r="H21">
        <v>24</v>
      </c>
      <c r="I21">
        <v>350</v>
      </c>
      <c r="J21">
        <v>30090</v>
      </c>
      <c r="L21" t="s">
        <v>164</v>
      </c>
      <c r="M21">
        <f t="shared" si="2"/>
        <v>1</v>
      </c>
      <c r="N21">
        <f t="shared" si="1"/>
        <v>0</v>
      </c>
      <c r="O21">
        <f t="shared" si="1"/>
        <v>0</v>
      </c>
      <c r="P21">
        <f t="shared" si="1"/>
        <v>0</v>
      </c>
      <c r="Q21">
        <f t="shared" si="1"/>
        <v>0</v>
      </c>
      <c r="R21">
        <f t="shared" si="1"/>
        <v>1</v>
      </c>
      <c r="S21">
        <f t="shared" si="1"/>
        <v>0</v>
      </c>
      <c r="T21">
        <f t="shared" si="1"/>
        <v>0</v>
      </c>
      <c r="U21">
        <f t="shared" si="1"/>
        <v>0</v>
      </c>
      <c r="V21">
        <f t="shared" si="1"/>
        <v>0</v>
      </c>
      <c r="W21">
        <f t="shared" si="1"/>
        <v>0</v>
      </c>
      <c r="X21">
        <f t="shared" si="1"/>
        <v>0</v>
      </c>
      <c r="AB21" t="s">
        <v>350</v>
      </c>
    </row>
    <row r="22" spans="1:28" x14ac:dyDescent="0.25">
      <c r="A22" t="s">
        <v>314</v>
      </c>
      <c r="B22" t="s">
        <v>327</v>
      </c>
      <c r="C22" t="s">
        <v>163</v>
      </c>
      <c r="D22" t="s">
        <v>178</v>
      </c>
      <c r="E22" t="s">
        <v>184</v>
      </c>
      <c r="F22" t="s">
        <v>337</v>
      </c>
      <c r="G22" t="s">
        <v>350</v>
      </c>
      <c r="H22">
        <v>12</v>
      </c>
      <c r="I22">
        <v>500</v>
      </c>
      <c r="J22">
        <v>41000</v>
      </c>
      <c r="L22" t="s">
        <v>162</v>
      </c>
      <c r="M22">
        <f t="shared" si="2"/>
        <v>0</v>
      </c>
      <c r="N22">
        <f t="shared" si="1"/>
        <v>1</v>
      </c>
      <c r="O22">
        <f t="shared" si="1"/>
        <v>0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1"/>
        <v>1</v>
      </c>
      <c r="T22">
        <f t="shared" si="1"/>
        <v>0</v>
      </c>
      <c r="U22">
        <f t="shared" si="1"/>
        <v>0</v>
      </c>
      <c r="V22">
        <f t="shared" si="1"/>
        <v>0</v>
      </c>
      <c r="W22">
        <f t="shared" si="1"/>
        <v>0</v>
      </c>
      <c r="X22">
        <f t="shared" si="1"/>
        <v>0</v>
      </c>
      <c r="AB22" t="s">
        <v>351</v>
      </c>
    </row>
    <row r="23" spans="1:28" x14ac:dyDescent="0.25">
      <c r="A23" t="s">
        <v>313</v>
      </c>
      <c r="B23" t="s">
        <v>328</v>
      </c>
      <c r="C23" t="s">
        <v>160</v>
      </c>
      <c r="D23" t="s">
        <v>175</v>
      </c>
      <c r="E23" t="s">
        <v>185</v>
      </c>
      <c r="F23" t="s">
        <v>339</v>
      </c>
      <c r="G23" t="s">
        <v>351</v>
      </c>
      <c r="H23">
        <v>12</v>
      </c>
      <c r="I23">
        <v>650</v>
      </c>
      <c r="J23">
        <v>33000</v>
      </c>
      <c r="L23" t="s">
        <v>165</v>
      </c>
      <c r="M23">
        <f t="shared" si="2"/>
        <v>0</v>
      </c>
      <c r="N23">
        <f t="shared" si="1"/>
        <v>0</v>
      </c>
      <c r="O23">
        <f t="shared" si="1"/>
        <v>1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1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AB23" t="s">
        <v>352</v>
      </c>
    </row>
    <row r="24" spans="1:28" x14ac:dyDescent="0.25">
      <c r="A24" t="s">
        <v>312</v>
      </c>
      <c r="B24" t="s">
        <v>329</v>
      </c>
      <c r="C24" t="s">
        <v>156</v>
      </c>
      <c r="D24" t="s">
        <v>172</v>
      </c>
      <c r="E24" t="s">
        <v>184</v>
      </c>
      <c r="F24" t="s">
        <v>340</v>
      </c>
      <c r="G24" t="s">
        <v>352</v>
      </c>
      <c r="H24">
        <v>24</v>
      </c>
      <c r="I24">
        <v>50</v>
      </c>
      <c r="J24">
        <v>13000</v>
      </c>
      <c r="L24" t="s">
        <v>159</v>
      </c>
      <c r="M24">
        <f t="shared" si="2"/>
        <v>0</v>
      </c>
      <c r="N24">
        <f t="shared" si="1"/>
        <v>1</v>
      </c>
      <c r="O24">
        <f t="shared" si="1"/>
        <v>0</v>
      </c>
      <c r="P24">
        <f t="shared" si="1"/>
        <v>0</v>
      </c>
      <c r="Q24">
        <f t="shared" si="1"/>
        <v>0</v>
      </c>
      <c r="R24">
        <f t="shared" si="1"/>
        <v>1</v>
      </c>
      <c r="S24">
        <f t="shared" si="1"/>
        <v>0</v>
      </c>
      <c r="T24">
        <f t="shared" si="1"/>
        <v>0</v>
      </c>
      <c r="U24">
        <f t="shared" si="1"/>
        <v>0</v>
      </c>
      <c r="V24">
        <f t="shared" si="1"/>
        <v>0</v>
      </c>
      <c r="W24">
        <f t="shared" si="1"/>
        <v>1</v>
      </c>
      <c r="X24">
        <f t="shared" si="1"/>
        <v>1</v>
      </c>
      <c r="AB24" t="s">
        <v>353</v>
      </c>
    </row>
    <row r="25" spans="1:28" x14ac:dyDescent="0.25">
      <c r="A25" t="s">
        <v>311</v>
      </c>
      <c r="B25" t="s">
        <v>330</v>
      </c>
      <c r="C25" t="s">
        <v>167</v>
      </c>
      <c r="D25" t="s">
        <v>182</v>
      </c>
      <c r="E25" t="s">
        <v>185</v>
      </c>
      <c r="F25" t="s">
        <v>340</v>
      </c>
      <c r="G25" t="s">
        <v>353</v>
      </c>
      <c r="H25">
        <v>24</v>
      </c>
      <c r="I25">
        <v>60</v>
      </c>
      <c r="J25">
        <v>14000</v>
      </c>
      <c r="L25" t="s">
        <v>166</v>
      </c>
      <c r="M25">
        <f t="shared" si="2"/>
        <v>1</v>
      </c>
      <c r="N25">
        <f t="shared" si="1"/>
        <v>0</v>
      </c>
      <c r="O25">
        <f t="shared" si="1"/>
        <v>0</v>
      </c>
      <c r="P25">
        <f t="shared" si="1"/>
        <v>1</v>
      </c>
      <c r="Q25">
        <f t="shared" si="1"/>
        <v>0</v>
      </c>
      <c r="R25">
        <f t="shared" si="1"/>
        <v>0</v>
      </c>
      <c r="S25">
        <f t="shared" si="1"/>
        <v>0</v>
      </c>
      <c r="T25">
        <f t="shared" si="1"/>
        <v>0</v>
      </c>
      <c r="U25">
        <f t="shared" si="1"/>
        <v>0</v>
      </c>
      <c r="V25">
        <f t="shared" si="1"/>
        <v>0</v>
      </c>
      <c r="W25">
        <f t="shared" si="1"/>
        <v>0</v>
      </c>
      <c r="X25">
        <f t="shared" si="1"/>
        <v>0</v>
      </c>
      <c r="AB25" t="s">
        <v>354</v>
      </c>
    </row>
    <row r="26" spans="1:28" x14ac:dyDescent="0.25">
      <c r="A26" t="s">
        <v>310</v>
      </c>
      <c r="B26" t="s">
        <v>331</v>
      </c>
      <c r="C26" t="s">
        <v>168</v>
      </c>
      <c r="D26" t="s">
        <v>171</v>
      </c>
      <c r="E26" t="s">
        <v>184</v>
      </c>
      <c r="F26" t="s">
        <v>341</v>
      </c>
      <c r="G26" t="s">
        <v>345</v>
      </c>
      <c r="H26">
        <v>36</v>
      </c>
      <c r="I26">
        <v>80</v>
      </c>
      <c r="J26">
        <v>12390</v>
      </c>
      <c r="L26" t="s">
        <v>163</v>
      </c>
      <c r="M26">
        <f t="shared" si="2"/>
        <v>0</v>
      </c>
      <c r="N26">
        <f t="shared" si="1"/>
        <v>1</v>
      </c>
      <c r="O26">
        <f t="shared" si="1"/>
        <v>0</v>
      </c>
      <c r="P26">
        <f t="shared" si="1"/>
        <v>0</v>
      </c>
      <c r="Q26">
        <f t="shared" si="1"/>
        <v>1</v>
      </c>
      <c r="R26">
        <f t="shared" si="1"/>
        <v>0</v>
      </c>
      <c r="S26">
        <f t="shared" si="1"/>
        <v>0</v>
      </c>
      <c r="T26">
        <f t="shared" si="1"/>
        <v>0</v>
      </c>
      <c r="U26">
        <f t="shared" si="1"/>
        <v>0</v>
      </c>
      <c r="V26">
        <f t="shared" si="1"/>
        <v>0</v>
      </c>
      <c r="W26">
        <f t="shared" si="1"/>
        <v>0</v>
      </c>
      <c r="X26">
        <f t="shared" si="1"/>
        <v>0</v>
      </c>
      <c r="AB26" t="s">
        <v>355</v>
      </c>
    </row>
    <row r="27" spans="1:28" x14ac:dyDescent="0.25">
      <c r="A27" t="s">
        <v>309</v>
      </c>
      <c r="B27" t="s">
        <v>332</v>
      </c>
      <c r="C27" t="s">
        <v>161</v>
      </c>
      <c r="D27" t="s">
        <v>176</v>
      </c>
      <c r="E27" t="s">
        <v>185</v>
      </c>
      <c r="F27" t="s">
        <v>341</v>
      </c>
      <c r="G27" t="s">
        <v>354</v>
      </c>
      <c r="H27">
        <v>36</v>
      </c>
      <c r="I27">
        <v>90</v>
      </c>
      <c r="J27">
        <v>12380</v>
      </c>
      <c r="L27" t="s">
        <v>160</v>
      </c>
      <c r="M27">
        <f t="shared" si="2"/>
        <v>1</v>
      </c>
      <c r="N27">
        <f t="shared" si="1"/>
        <v>0</v>
      </c>
      <c r="O27">
        <f t="shared" si="1"/>
        <v>0</v>
      </c>
      <c r="P27">
        <f t="shared" si="1"/>
        <v>0</v>
      </c>
      <c r="Q27">
        <f t="shared" si="1"/>
        <v>0</v>
      </c>
      <c r="R27">
        <f t="shared" si="1"/>
        <v>0</v>
      </c>
      <c r="S27">
        <f t="shared" si="1"/>
        <v>1</v>
      </c>
      <c r="T27">
        <f t="shared" si="1"/>
        <v>0</v>
      </c>
      <c r="U27">
        <f t="shared" si="1"/>
        <v>0</v>
      </c>
      <c r="V27">
        <f t="shared" si="1"/>
        <v>0</v>
      </c>
      <c r="W27">
        <f t="shared" si="1"/>
        <v>0</v>
      </c>
      <c r="X27">
        <f t="shared" si="1"/>
        <v>0</v>
      </c>
      <c r="AB27" t="s">
        <v>356</v>
      </c>
    </row>
    <row r="28" spans="1:28" x14ac:dyDescent="0.25">
      <c r="A28" t="s">
        <v>308</v>
      </c>
      <c r="B28" t="s">
        <v>333</v>
      </c>
      <c r="C28" t="s">
        <v>167</v>
      </c>
      <c r="D28" t="s">
        <v>182</v>
      </c>
      <c r="E28" t="s">
        <v>185</v>
      </c>
      <c r="F28" t="s">
        <v>342</v>
      </c>
      <c r="G28" t="s">
        <v>345</v>
      </c>
      <c r="H28">
        <v>30</v>
      </c>
      <c r="I28">
        <v>70</v>
      </c>
      <c r="J28">
        <v>13450</v>
      </c>
      <c r="L28" t="s">
        <v>156</v>
      </c>
      <c r="M28">
        <f t="shared" si="2"/>
        <v>0</v>
      </c>
      <c r="N28">
        <f t="shared" si="1"/>
        <v>0</v>
      </c>
      <c r="O28">
        <f t="shared" si="1"/>
        <v>1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1"/>
        <v>0</v>
      </c>
      <c r="T28">
        <f t="shared" si="1"/>
        <v>1</v>
      </c>
      <c r="U28">
        <f t="shared" si="1"/>
        <v>0</v>
      </c>
      <c r="V28">
        <f t="shared" si="1"/>
        <v>0</v>
      </c>
      <c r="W28">
        <f t="shared" si="1"/>
        <v>1</v>
      </c>
      <c r="X28">
        <f t="shared" si="1"/>
        <v>1</v>
      </c>
    </row>
    <row r="29" spans="1:28" x14ac:dyDescent="0.25">
      <c r="A29" t="s">
        <v>307</v>
      </c>
      <c r="B29" t="s">
        <v>334</v>
      </c>
      <c r="C29" t="s">
        <v>156</v>
      </c>
      <c r="D29" t="s">
        <v>172</v>
      </c>
      <c r="E29" t="s">
        <v>184</v>
      </c>
      <c r="F29" t="s">
        <v>343</v>
      </c>
      <c r="G29" t="s">
        <v>355</v>
      </c>
      <c r="H29">
        <v>15</v>
      </c>
      <c r="I29">
        <v>1259</v>
      </c>
      <c r="J29">
        <v>35000</v>
      </c>
      <c r="L29" t="s">
        <v>167</v>
      </c>
      <c r="M29">
        <f t="shared" si="2"/>
        <v>1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1"/>
        <v>0</v>
      </c>
      <c r="T29">
        <f t="shared" si="1"/>
        <v>1</v>
      </c>
      <c r="U29">
        <f t="shared" si="1"/>
        <v>0</v>
      </c>
      <c r="V29">
        <f t="shared" si="1"/>
        <v>1</v>
      </c>
      <c r="W29">
        <f t="shared" si="1"/>
        <v>0</v>
      </c>
      <c r="X29">
        <f t="shared" si="1"/>
        <v>0</v>
      </c>
    </row>
    <row r="30" spans="1:28" x14ac:dyDescent="0.25">
      <c r="A30" t="s">
        <v>306</v>
      </c>
      <c r="B30" t="s">
        <v>335</v>
      </c>
      <c r="C30" t="s">
        <v>159</v>
      </c>
      <c r="D30" t="s">
        <v>174</v>
      </c>
      <c r="E30" t="s">
        <v>185</v>
      </c>
      <c r="F30" t="s">
        <v>343</v>
      </c>
      <c r="G30" t="s">
        <v>356</v>
      </c>
      <c r="H30">
        <v>4</v>
      </c>
      <c r="I30">
        <v>4000</v>
      </c>
      <c r="J30">
        <v>490000</v>
      </c>
      <c r="L30" t="s">
        <v>168</v>
      </c>
      <c r="M30">
        <f t="shared" si="2"/>
        <v>0</v>
      </c>
      <c r="N30">
        <f t="shared" si="1"/>
        <v>1</v>
      </c>
      <c r="O30">
        <f t="shared" si="1"/>
        <v>0</v>
      </c>
      <c r="P30">
        <f t="shared" si="1"/>
        <v>0</v>
      </c>
      <c r="Q30">
        <f t="shared" si="1"/>
        <v>0</v>
      </c>
      <c r="R30">
        <f t="shared" si="1"/>
        <v>0</v>
      </c>
      <c r="S30">
        <f t="shared" si="1"/>
        <v>0</v>
      </c>
      <c r="T30">
        <f t="shared" si="1"/>
        <v>0</v>
      </c>
      <c r="U30">
        <f t="shared" si="1"/>
        <v>1</v>
      </c>
      <c r="V30">
        <f t="shared" si="1"/>
        <v>0</v>
      </c>
      <c r="W30">
        <f t="shared" si="1"/>
        <v>0</v>
      </c>
      <c r="X30">
        <f t="shared" si="1"/>
        <v>0</v>
      </c>
    </row>
    <row r="31" spans="1:28" x14ac:dyDescent="0.25">
      <c r="L31" t="s">
        <v>161</v>
      </c>
      <c r="M31">
        <f t="shared" si="2"/>
        <v>0</v>
      </c>
      <c r="N31">
        <f t="shared" si="1"/>
        <v>1</v>
      </c>
      <c r="O31">
        <f t="shared" si="1"/>
        <v>0</v>
      </c>
      <c r="P31">
        <f t="shared" si="1"/>
        <v>0</v>
      </c>
      <c r="Q31">
        <f t="shared" si="1"/>
        <v>0</v>
      </c>
      <c r="R31">
        <f t="shared" si="1"/>
        <v>0</v>
      </c>
      <c r="S31">
        <f t="shared" si="1"/>
        <v>0</v>
      </c>
      <c r="T31">
        <f t="shared" si="1"/>
        <v>0</v>
      </c>
      <c r="U31">
        <f t="shared" si="1"/>
        <v>1</v>
      </c>
      <c r="V31">
        <f t="shared" si="1"/>
        <v>0</v>
      </c>
      <c r="W31">
        <f t="shared" si="1"/>
        <v>0</v>
      </c>
      <c r="X31">
        <f t="shared" si="1"/>
        <v>0</v>
      </c>
    </row>
    <row r="33" spans="12:18" x14ac:dyDescent="0.25">
      <c r="L33" s="3" t="s">
        <v>155</v>
      </c>
      <c r="M33">
        <f>SUMIF(E:E,L34,H:H)</f>
        <v>264</v>
      </c>
    </row>
    <row r="34" spans="12:18" x14ac:dyDescent="0.25">
      <c r="L34" t="s">
        <v>185</v>
      </c>
      <c r="M34">
        <f t="shared" ref="M34:M35" si="3">SUMIF(E:E,L35,H:H)</f>
        <v>206</v>
      </c>
      <c r="P34" s="3" t="s">
        <v>357</v>
      </c>
      <c r="Q34" t="s">
        <v>185</v>
      </c>
      <c r="R34" t="s">
        <v>184</v>
      </c>
    </row>
    <row r="35" spans="12:18" x14ac:dyDescent="0.25">
      <c r="L35" t="s">
        <v>184</v>
      </c>
      <c r="M35">
        <f t="shared" si="3"/>
        <v>0</v>
      </c>
      <c r="P35" t="s">
        <v>190</v>
      </c>
      <c r="Q35">
        <f>SUMIFS($H:$H,$G:$G,$P35,$E:$E,Q$34)</f>
        <v>5</v>
      </c>
      <c r="R35">
        <f>SUMIFS($H:$H,$G:$G,$P35,$E:$E,R$34)</f>
        <v>0</v>
      </c>
    </row>
    <row r="36" spans="12:18" x14ac:dyDescent="0.25">
      <c r="P36" t="s">
        <v>189</v>
      </c>
      <c r="Q36">
        <f t="shared" ref="Q36:R60" si="4">SUMIFS($H:$H,$G:$G,$P36,$E:$E,Q$34)</f>
        <v>8</v>
      </c>
      <c r="R36">
        <f t="shared" si="4"/>
        <v>0</v>
      </c>
    </row>
    <row r="37" spans="12:18" x14ac:dyDescent="0.25">
      <c r="P37" t="s">
        <v>196</v>
      </c>
      <c r="Q37">
        <f t="shared" si="4"/>
        <v>16</v>
      </c>
      <c r="R37">
        <f t="shared" si="4"/>
        <v>0</v>
      </c>
    </row>
    <row r="38" spans="12:18" x14ac:dyDescent="0.25">
      <c r="P38" t="s">
        <v>194</v>
      </c>
      <c r="Q38">
        <f t="shared" si="4"/>
        <v>0</v>
      </c>
      <c r="R38">
        <f t="shared" si="4"/>
        <v>6</v>
      </c>
    </row>
    <row r="39" spans="12:18" x14ac:dyDescent="0.25">
      <c r="P39" t="s">
        <v>197</v>
      </c>
      <c r="Q39">
        <f t="shared" si="4"/>
        <v>0</v>
      </c>
      <c r="R39">
        <f t="shared" si="4"/>
        <v>17</v>
      </c>
    </row>
    <row r="40" spans="12:18" x14ac:dyDescent="0.25">
      <c r="P40" t="s">
        <v>191</v>
      </c>
      <c r="Q40">
        <f t="shared" si="4"/>
        <v>8</v>
      </c>
      <c r="R40">
        <f t="shared" si="4"/>
        <v>0</v>
      </c>
    </row>
    <row r="41" spans="12:18" x14ac:dyDescent="0.25">
      <c r="P41" t="s">
        <v>198</v>
      </c>
      <c r="Q41">
        <f t="shared" si="4"/>
        <v>0</v>
      </c>
      <c r="R41">
        <f t="shared" si="4"/>
        <v>19</v>
      </c>
    </row>
    <row r="42" spans="12:18" x14ac:dyDescent="0.25">
      <c r="P42" t="s">
        <v>195</v>
      </c>
      <c r="Q42">
        <f t="shared" si="4"/>
        <v>0</v>
      </c>
      <c r="R42">
        <f t="shared" si="4"/>
        <v>10</v>
      </c>
    </row>
    <row r="43" spans="12:18" x14ac:dyDescent="0.25">
      <c r="P43" t="s">
        <v>192</v>
      </c>
      <c r="Q43">
        <f t="shared" si="4"/>
        <v>4</v>
      </c>
      <c r="R43">
        <f t="shared" si="4"/>
        <v>0</v>
      </c>
    </row>
    <row r="44" spans="12:18" x14ac:dyDescent="0.25">
      <c r="P44" t="s">
        <v>188</v>
      </c>
      <c r="Q44">
        <f t="shared" si="4"/>
        <v>0</v>
      </c>
      <c r="R44">
        <f t="shared" si="4"/>
        <v>9</v>
      </c>
    </row>
    <row r="45" spans="12:18" x14ac:dyDescent="0.25">
      <c r="P45" t="s">
        <v>199</v>
      </c>
      <c r="Q45">
        <f t="shared" si="4"/>
        <v>12</v>
      </c>
      <c r="R45">
        <f t="shared" si="4"/>
        <v>0</v>
      </c>
    </row>
    <row r="46" spans="12:18" x14ac:dyDescent="0.25">
      <c r="P46" t="s">
        <v>187</v>
      </c>
      <c r="Q46">
        <f t="shared" si="4"/>
        <v>0</v>
      </c>
      <c r="R46">
        <f t="shared" si="4"/>
        <v>9</v>
      </c>
    </row>
    <row r="47" spans="12:18" x14ac:dyDescent="0.25">
      <c r="P47" t="s">
        <v>193</v>
      </c>
      <c r="Q47">
        <f t="shared" si="4"/>
        <v>15</v>
      </c>
      <c r="R47">
        <f t="shared" si="4"/>
        <v>0</v>
      </c>
    </row>
    <row r="48" spans="12:18" x14ac:dyDescent="0.25">
      <c r="P48" t="s">
        <v>344</v>
      </c>
      <c r="Q48">
        <f t="shared" si="4"/>
        <v>20</v>
      </c>
      <c r="R48">
        <f t="shared" si="4"/>
        <v>0</v>
      </c>
    </row>
    <row r="49" spans="16:18" x14ac:dyDescent="0.25">
      <c r="P49" t="s">
        <v>345</v>
      </c>
      <c r="Q49">
        <f t="shared" si="4"/>
        <v>75</v>
      </c>
      <c r="R49">
        <f t="shared" si="4"/>
        <v>36</v>
      </c>
    </row>
    <row r="50" spans="16:18" x14ac:dyDescent="0.25">
      <c r="P50" t="s">
        <v>346</v>
      </c>
      <c r="Q50">
        <f t="shared" si="4"/>
        <v>0</v>
      </c>
      <c r="R50">
        <f t="shared" si="4"/>
        <v>12</v>
      </c>
    </row>
    <row r="51" spans="16:18" x14ac:dyDescent="0.25">
      <c r="P51" t="s">
        <v>347</v>
      </c>
      <c r="Q51">
        <f t="shared" si="4"/>
        <v>0</v>
      </c>
      <c r="R51">
        <f t="shared" si="4"/>
        <v>13</v>
      </c>
    </row>
    <row r="52" spans="16:18" x14ac:dyDescent="0.25">
      <c r="P52" t="s">
        <v>348</v>
      </c>
      <c r="Q52">
        <f t="shared" si="4"/>
        <v>25</v>
      </c>
      <c r="R52">
        <f t="shared" si="4"/>
        <v>0</v>
      </c>
    </row>
    <row r="53" spans="16:18" x14ac:dyDescent="0.25">
      <c r="P53" t="s">
        <v>349</v>
      </c>
      <c r="Q53">
        <f t="shared" si="4"/>
        <v>0</v>
      </c>
      <c r="R53">
        <f t="shared" si="4"/>
        <v>24</v>
      </c>
    </row>
    <row r="54" spans="16:18" x14ac:dyDescent="0.25">
      <c r="P54" t="s">
        <v>350</v>
      </c>
      <c r="Q54">
        <f t="shared" si="4"/>
        <v>0</v>
      </c>
      <c r="R54">
        <f t="shared" si="4"/>
        <v>12</v>
      </c>
    </row>
    <row r="55" spans="16:18" x14ac:dyDescent="0.25">
      <c r="P55" t="s">
        <v>351</v>
      </c>
      <c r="Q55">
        <f t="shared" si="4"/>
        <v>12</v>
      </c>
      <c r="R55">
        <f t="shared" si="4"/>
        <v>0</v>
      </c>
    </row>
    <row r="56" spans="16:18" x14ac:dyDescent="0.25">
      <c r="P56" t="s">
        <v>352</v>
      </c>
      <c r="Q56">
        <f t="shared" si="4"/>
        <v>0</v>
      </c>
      <c r="R56">
        <f t="shared" si="4"/>
        <v>24</v>
      </c>
    </row>
    <row r="57" spans="16:18" x14ac:dyDescent="0.25">
      <c r="P57" t="s">
        <v>353</v>
      </c>
      <c r="Q57">
        <f t="shared" si="4"/>
        <v>24</v>
      </c>
      <c r="R57">
        <f t="shared" si="4"/>
        <v>0</v>
      </c>
    </row>
    <row r="58" spans="16:18" x14ac:dyDescent="0.25">
      <c r="P58" t="s">
        <v>354</v>
      </c>
      <c r="Q58">
        <f t="shared" si="4"/>
        <v>36</v>
      </c>
      <c r="R58">
        <f t="shared" si="4"/>
        <v>0</v>
      </c>
    </row>
    <row r="59" spans="16:18" x14ac:dyDescent="0.25">
      <c r="P59" t="s">
        <v>355</v>
      </c>
      <c r="Q59">
        <f t="shared" si="4"/>
        <v>0</v>
      </c>
      <c r="R59">
        <f t="shared" si="4"/>
        <v>15</v>
      </c>
    </row>
    <row r="60" spans="16:18" x14ac:dyDescent="0.25">
      <c r="P60" t="s">
        <v>356</v>
      </c>
      <c r="Q60">
        <f t="shared" si="4"/>
        <v>4</v>
      </c>
      <c r="R60">
        <f t="shared" si="4"/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10" sqref="D10"/>
    </sheetView>
  </sheetViews>
  <sheetFormatPr defaultRowHeight="15" x14ac:dyDescent="0.25"/>
  <cols>
    <col min="1" max="1" width="12.5703125" customWidth="1"/>
    <col min="2" max="2" width="12.7109375" style="30" customWidth="1"/>
    <col min="3" max="3" width="19.42578125" style="30" customWidth="1"/>
    <col min="4" max="4" width="14.5703125" customWidth="1"/>
    <col min="5" max="5" width="17.140625" customWidth="1"/>
  </cols>
  <sheetData>
    <row r="1" spans="1:5" s="3" customFormat="1" x14ac:dyDescent="0.25">
      <c r="A1" s="3" t="s">
        <v>358</v>
      </c>
      <c r="B1" s="29" t="s">
        <v>359</v>
      </c>
      <c r="C1" s="29"/>
      <c r="D1" s="3" t="s">
        <v>360</v>
      </c>
      <c r="E1" s="3" t="s">
        <v>361</v>
      </c>
    </row>
    <row r="2" spans="1:5" x14ac:dyDescent="0.25">
      <c r="A2" t="s">
        <v>362</v>
      </c>
      <c r="B2" s="30">
        <v>45323</v>
      </c>
      <c r="C2" s="30">
        <f>DATE(YEAR(B2),MONTH(B2),DAY(B2))</f>
        <v>45323</v>
      </c>
      <c r="D2" s="31">
        <v>45382</v>
      </c>
      <c r="E2">
        <f>D2-C2</f>
        <v>59</v>
      </c>
    </row>
    <row r="3" spans="1:5" x14ac:dyDescent="0.25">
      <c r="A3" t="s">
        <v>363</v>
      </c>
      <c r="B3" s="30">
        <v>45324</v>
      </c>
      <c r="C3" s="30">
        <f t="shared" ref="C3:C7" si="0">DATE(YEAR(B3),MONTH(B3),DAY(B3))</f>
        <v>45324</v>
      </c>
      <c r="D3" s="31">
        <v>45442</v>
      </c>
      <c r="E3">
        <f t="shared" ref="E3:E6" si="1">D3-C3</f>
        <v>118</v>
      </c>
    </row>
    <row r="4" spans="1:5" x14ac:dyDescent="0.25">
      <c r="A4" t="s">
        <v>364</v>
      </c>
      <c r="B4" s="30">
        <v>45325</v>
      </c>
      <c r="C4" s="30">
        <f t="shared" si="0"/>
        <v>45325</v>
      </c>
      <c r="D4" s="31">
        <v>45448</v>
      </c>
      <c r="E4">
        <f t="shared" si="1"/>
        <v>123</v>
      </c>
    </row>
    <row r="5" spans="1:5" x14ac:dyDescent="0.25">
      <c r="A5" t="s">
        <v>365</v>
      </c>
      <c r="B5" s="30">
        <v>45326</v>
      </c>
      <c r="C5" s="30">
        <f t="shared" si="0"/>
        <v>45326</v>
      </c>
      <c r="D5" s="31">
        <v>45498</v>
      </c>
      <c r="E5">
        <f t="shared" si="1"/>
        <v>172</v>
      </c>
    </row>
    <row r="6" spans="1:5" x14ac:dyDescent="0.25">
      <c r="A6" t="s">
        <v>366</v>
      </c>
      <c r="B6" s="30">
        <v>45327</v>
      </c>
      <c r="C6" s="30">
        <f t="shared" si="0"/>
        <v>45327</v>
      </c>
      <c r="D6" s="31">
        <v>45453</v>
      </c>
      <c r="E6">
        <f t="shared" si="1"/>
        <v>126</v>
      </c>
    </row>
    <row r="7" spans="1:5" x14ac:dyDescent="0.25">
      <c r="C7" s="30">
        <f t="shared" si="0"/>
        <v>0</v>
      </c>
    </row>
    <row r="10" spans="1:5" x14ac:dyDescent="0.25">
      <c r="C10" s="30">
        <v>45323</v>
      </c>
      <c r="D10" s="31">
        <f>EOMONTH(C10,2)</f>
        <v>45412</v>
      </c>
    </row>
    <row r="11" spans="1:5" x14ac:dyDescent="0.25">
      <c r="C11" s="30">
        <v>45324</v>
      </c>
      <c r="D11" s="31">
        <f t="shared" ref="D11:D14" si="2">EOMONTH(C11,2)</f>
        <v>45412</v>
      </c>
    </row>
    <row r="12" spans="1:5" x14ac:dyDescent="0.25">
      <c r="C12" s="30">
        <v>45325</v>
      </c>
      <c r="D12" s="31">
        <f t="shared" si="2"/>
        <v>45412</v>
      </c>
    </row>
    <row r="13" spans="1:5" x14ac:dyDescent="0.25">
      <c r="C13" s="30">
        <v>45326</v>
      </c>
      <c r="D13" s="31">
        <f t="shared" si="2"/>
        <v>45412</v>
      </c>
    </row>
    <row r="14" spans="1:5" x14ac:dyDescent="0.25">
      <c r="C14" s="30">
        <v>45327</v>
      </c>
      <c r="D14" s="31">
        <f t="shared" si="2"/>
        <v>45412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4" sqref="E14"/>
    </sheetView>
  </sheetViews>
  <sheetFormatPr defaultRowHeight="15" x14ac:dyDescent="0.25"/>
  <cols>
    <col min="1" max="1" width="13.7109375" customWidth="1"/>
    <col min="2" max="2" width="16.5703125" customWidth="1"/>
    <col min="3" max="3" width="16.7109375" style="35" customWidth="1"/>
    <col min="4" max="4" width="18" style="35" customWidth="1"/>
    <col min="5" max="5" width="31.42578125" customWidth="1"/>
  </cols>
  <sheetData>
    <row r="1" spans="1:5" s="3" customFormat="1" x14ac:dyDescent="0.25">
      <c r="A1" s="3" t="s">
        <v>34</v>
      </c>
      <c r="B1" s="3" t="s">
        <v>35</v>
      </c>
      <c r="C1" s="33" t="s">
        <v>367</v>
      </c>
      <c r="D1" s="33" t="s">
        <v>368</v>
      </c>
      <c r="E1" s="32" t="s">
        <v>375</v>
      </c>
    </row>
    <row r="2" spans="1:5" x14ac:dyDescent="0.25">
      <c r="A2">
        <v>101</v>
      </c>
      <c r="B2" t="s">
        <v>287</v>
      </c>
      <c r="C2" s="34">
        <v>44168</v>
      </c>
      <c r="D2" s="31">
        <v>39419</v>
      </c>
      <c r="E2" t="str">
        <f ca="1">DATEDIF(D2,TODAY(),"Y")&amp;" YEARS "&amp;DATEDIF(D2,TODAY(),"M")&amp;" MONTHS " &amp;DATEDIF(D2, TODAY(),"D")&amp;" DAYS "</f>
        <v xml:space="preserve">18 YEARS 224 MONTHS 6838 DAYS </v>
      </c>
    </row>
    <row r="3" spans="1:5" x14ac:dyDescent="0.25">
      <c r="A3">
        <v>102</v>
      </c>
      <c r="B3" t="s">
        <v>288</v>
      </c>
      <c r="C3" s="35" t="s">
        <v>371</v>
      </c>
      <c r="D3" s="34">
        <v>40516</v>
      </c>
      <c r="E3" t="str">
        <f t="shared" ref="E3:E7" ca="1" si="0">DATEDIF(D3,TODAY(),"Y")&amp;" YEARS "&amp;DATEDIF(D3,TODAY(),"M")&amp;" MONTHS " &amp;DATEDIF(D3, TODAY(),"D")&amp;" DAYS "</f>
        <v xml:space="preserve">15 YEARS 188 MONTHS 5741 DAYS </v>
      </c>
    </row>
    <row r="4" spans="1:5" x14ac:dyDescent="0.25">
      <c r="A4">
        <v>103</v>
      </c>
      <c r="B4" t="s">
        <v>289</v>
      </c>
      <c r="C4" s="35" t="s">
        <v>372</v>
      </c>
      <c r="D4" s="34">
        <v>39421</v>
      </c>
      <c r="E4" t="str">
        <f t="shared" ca="1" si="0"/>
        <v xml:space="preserve">18 YEARS 224 MONTHS 6836 DAYS </v>
      </c>
    </row>
    <row r="5" spans="1:5" x14ac:dyDescent="0.25">
      <c r="A5">
        <v>104</v>
      </c>
      <c r="B5" t="s">
        <v>292</v>
      </c>
      <c r="C5" s="35" t="s">
        <v>373</v>
      </c>
      <c r="D5" s="34">
        <v>38327</v>
      </c>
      <c r="E5" t="str">
        <f t="shared" ca="1" si="0"/>
        <v xml:space="preserve">21 YEARS 260 MONTHS 7930 DAYS </v>
      </c>
    </row>
    <row r="6" spans="1:5" x14ac:dyDescent="0.25">
      <c r="A6">
        <v>105</v>
      </c>
      <c r="B6" t="s">
        <v>369</v>
      </c>
      <c r="C6" s="35" t="s">
        <v>374</v>
      </c>
      <c r="D6" s="34">
        <v>39423</v>
      </c>
      <c r="E6" t="str">
        <f t="shared" ca="1" si="0"/>
        <v xml:space="preserve">18 YEARS 224 MONTHS 6834 DAYS </v>
      </c>
    </row>
    <row r="7" spans="1:5" x14ac:dyDescent="0.25">
      <c r="A7">
        <v>106</v>
      </c>
      <c r="B7" t="s">
        <v>370</v>
      </c>
      <c r="C7" s="34">
        <v>44169</v>
      </c>
      <c r="D7" s="34">
        <v>37598</v>
      </c>
      <c r="E7" t="str">
        <f t="shared" ca="1" si="0"/>
        <v xml:space="preserve">23 YEARS 284 MONTHS 8659 DAYS </v>
      </c>
    </row>
    <row r="11" spans="1:5" x14ac:dyDescent="0.25">
      <c r="E11" s="31"/>
    </row>
    <row r="14" spans="1:5" x14ac:dyDescent="0.25">
      <c r="D14" s="36" t="s">
        <v>376</v>
      </c>
      <c r="E14" s="31" t="str">
        <f>TEXT(D14,"DDD-MMM-YYYY")</f>
        <v>30/12/2022</v>
      </c>
    </row>
    <row r="15" spans="1:5" x14ac:dyDescent="0.25">
      <c r="E15" s="3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="120" zoomScaleNormal="120" workbookViewId="0">
      <selection activeCell="G4" sqref="G4"/>
    </sheetView>
  </sheetViews>
  <sheetFormatPr defaultRowHeight="15" x14ac:dyDescent="0.25"/>
  <cols>
    <col min="1" max="2" width="13" customWidth="1"/>
    <col min="7" max="7" width="12" customWidth="1"/>
  </cols>
  <sheetData>
    <row r="1" spans="1:7" x14ac:dyDescent="0.25">
      <c r="G1" t="s">
        <v>377</v>
      </c>
    </row>
    <row r="2" spans="1:7" x14ac:dyDescent="0.25">
      <c r="A2" s="31">
        <v>45627</v>
      </c>
      <c r="B2">
        <f>NETWORKDAYS.INTL(A2,A32,11,G2:G3)</f>
        <v>24</v>
      </c>
      <c r="G2" s="31">
        <v>45632</v>
      </c>
    </row>
    <row r="3" spans="1:7" x14ac:dyDescent="0.25">
      <c r="A3" s="31">
        <v>45628</v>
      </c>
      <c r="G3" s="31">
        <v>45651</v>
      </c>
    </row>
    <row r="4" spans="1:7" x14ac:dyDescent="0.25">
      <c r="A4" s="31">
        <v>45629</v>
      </c>
    </row>
    <row r="5" spans="1:7" x14ac:dyDescent="0.25">
      <c r="A5" s="31">
        <v>45630</v>
      </c>
    </row>
    <row r="6" spans="1:7" x14ac:dyDescent="0.25">
      <c r="A6" s="31">
        <v>45631</v>
      </c>
    </row>
    <row r="7" spans="1:7" x14ac:dyDescent="0.25">
      <c r="A7" s="31">
        <v>45632</v>
      </c>
    </row>
    <row r="8" spans="1:7" x14ac:dyDescent="0.25">
      <c r="A8" s="31">
        <v>45633</v>
      </c>
    </row>
    <row r="9" spans="1:7" x14ac:dyDescent="0.25">
      <c r="A9" s="31">
        <v>45634</v>
      </c>
    </row>
    <row r="10" spans="1:7" x14ac:dyDescent="0.25">
      <c r="A10" s="31">
        <v>45635</v>
      </c>
    </row>
    <row r="11" spans="1:7" x14ac:dyDescent="0.25">
      <c r="A11" s="31">
        <v>45636</v>
      </c>
    </row>
    <row r="12" spans="1:7" x14ac:dyDescent="0.25">
      <c r="A12" s="31">
        <v>45637</v>
      </c>
    </row>
    <row r="13" spans="1:7" x14ac:dyDescent="0.25">
      <c r="A13" s="31">
        <v>45638</v>
      </c>
    </row>
    <row r="14" spans="1:7" x14ac:dyDescent="0.25">
      <c r="A14" s="31">
        <v>45639</v>
      </c>
    </row>
    <row r="15" spans="1:7" x14ac:dyDescent="0.25">
      <c r="A15" s="31">
        <v>45640</v>
      </c>
    </row>
    <row r="16" spans="1:7" x14ac:dyDescent="0.25">
      <c r="A16" s="31">
        <v>45641</v>
      </c>
    </row>
    <row r="17" spans="1:1" x14ac:dyDescent="0.25">
      <c r="A17" s="31">
        <v>45642</v>
      </c>
    </row>
    <row r="18" spans="1:1" x14ac:dyDescent="0.25">
      <c r="A18" s="31">
        <v>45643</v>
      </c>
    </row>
    <row r="19" spans="1:1" x14ac:dyDescent="0.25">
      <c r="A19" s="31">
        <v>45644</v>
      </c>
    </row>
    <row r="20" spans="1:1" x14ac:dyDescent="0.25">
      <c r="A20" s="31">
        <v>45645</v>
      </c>
    </row>
    <row r="21" spans="1:1" x14ac:dyDescent="0.25">
      <c r="A21" s="31">
        <v>45646</v>
      </c>
    </row>
    <row r="22" spans="1:1" x14ac:dyDescent="0.25">
      <c r="A22" s="31">
        <v>45647</v>
      </c>
    </row>
    <row r="23" spans="1:1" x14ac:dyDescent="0.25">
      <c r="A23" s="31">
        <v>45648</v>
      </c>
    </row>
    <row r="24" spans="1:1" x14ac:dyDescent="0.25">
      <c r="A24" s="31">
        <v>45649</v>
      </c>
    </row>
    <row r="25" spans="1:1" x14ac:dyDescent="0.25">
      <c r="A25" s="31">
        <v>45650</v>
      </c>
    </row>
    <row r="26" spans="1:1" x14ac:dyDescent="0.25">
      <c r="A26" s="31">
        <v>45651</v>
      </c>
    </row>
    <row r="27" spans="1:1" x14ac:dyDescent="0.25">
      <c r="A27" s="31">
        <v>45652</v>
      </c>
    </row>
    <row r="28" spans="1:1" x14ac:dyDescent="0.25">
      <c r="A28" s="31">
        <v>45653</v>
      </c>
    </row>
    <row r="29" spans="1:1" x14ac:dyDescent="0.25">
      <c r="A29" s="31">
        <v>45654</v>
      </c>
    </row>
    <row r="30" spans="1:1" x14ac:dyDescent="0.25">
      <c r="A30" s="31">
        <v>45655</v>
      </c>
    </row>
    <row r="31" spans="1:1" x14ac:dyDescent="0.25">
      <c r="A31" s="31">
        <v>45656</v>
      </c>
    </row>
    <row r="32" spans="1:1" x14ac:dyDescent="0.25">
      <c r="A32" s="31">
        <v>45657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B4" sqref="B4"/>
    </sheetView>
  </sheetViews>
  <sheetFormatPr defaultRowHeight="15" x14ac:dyDescent="0.25"/>
  <cols>
    <col min="1" max="1" width="13.140625" customWidth="1"/>
    <col min="2" max="2" width="17.28515625" customWidth="1"/>
    <col min="3" max="3" width="9.140625" customWidth="1"/>
    <col min="4" max="4" width="8.140625" customWidth="1"/>
    <col min="5" max="5" width="6.5703125" customWidth="1"/>
    <col min="6" max="7" width="9" customWidth="1"/>
    <col min="8" max="8" width="9.28515625" bestFit="1" customWidth="1"/>
    <col min="9" max="9" width="9.5703125" bestFit="1" customWidth="1"/>
    <col min="10" max="10" width="9" customWidth="1"/>
    <col min="11" max="11" width="6.42578125" customWidth="1"/>
    <col min="12" max="12" width="7" customWidth="1"/>
    <col min="13" max="13" width="5.42578125" customWidth="1"/>
    <col min="14" max="14" width="11.85546875" bestFit="1" customWidth="1"/>
    <col min="15" max="15" width="6.140625" customWidth="1"/>
    <col min="16" max="16" width="7" customWidth="1"/>
    <col min="17" max="17" width="11.42578125" bestFit="1" customWidth="1"/>
    <col min="18" max="18" width="6.28515625" customWidth="1"/>
    <col min="19" max="19" width="9.28515625" bestFit="1" customWidth="1"/>
    <col min="20" max="20" width="9.7109375" bestFit="1" customWidth="1"/>
    <col min="21" max="21" width="8.140625" customWidth="1"/>
    <col min="22" max="22" width="9" customWidth="1"/>
    <col min="23" max="23" width="12.85546875" bestFit="1" customWidth="1"/>
    <col min="24" max="24" width="12" bestFit="1" customWidth="1"/>
    <col min="25" max="25" width="8.5703125" customWidth="1"/>
    <col min="26" max="26" width="8.85546875" customWidth="1"/>
    <col min="27" max="27" width="7.28515625" customWidth="1"/>
    <col min="28" max="28" width="7.42578125" customWidth="1"/>
    <col min="29" max="29" width="11.28515625" bestFit="1" customWidth="1"/>
  </cols>
  <sheetData>
    <row r="3" spans="1:2" x14ac:dyDescent="0.25">
      <c r="A3" s="37" t="s">
        <v>392</v>
      </c>
      <c r="B3" t="s">
        <v>394</v>
      </c>
    </row>
    <row r="4" spans="1:2" x14ac:dyDescent="0.25">
      <c r="A4" s="38" t="s">
        <v>156</v>
      </c>
      <c r="B4" s="39">
        <v>27</v>
      </c>
    </row>
    <row r="5" spans="1:2" x14ac:dyDescent="0.25">
      <c r="A5" s="38" t="s">
        <v>159</v>
      </c>
      <c r="B5" s="39">
        <v>74</v>
      </c>
    </row>
    <row r="6" spans="1:2" x14ac:dyDescent="0.25">
      <c r="A6" s="38" t="s">
        <v>163</v>
      </c>
      <c r="B6" s="39">
        <v>37</v>
      </c>
    </row>
    <row r="7" spans="1:2" x14ac:dyDescent="0.25">
      <c r="A7" s="38" t="s">
        <v>157</v>
      </c>
      <c r="B7" s="39">
        <v>22</v>
      </c>
    </row>
    <row r="8" spans="1:2" x14ac:dyDescent="0.25">
      <c r="A8" s="38" t="s">
        <v>393</v>
      </c>
      <c r="B8" s="39">
        <v>160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G17" sqref="G17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37" t="s">
        <v>392</v>
      </c>
      <c r="B3" t="s">
        <v>394</v>
      </c>
    </row>
    <row r="4" spans="1:2" x14ac:dyDescent="0.25">
      <c r="A4" s="40">
        <v>45647</v>
      </c>
      <c r="B4" s="39">
        <v>34</v>
      </c>
    </row>
    <row r="5" spans="1:2" x14ac:dyDescent="0.25">
      <c r="A5" s="40">
        <v>45648</v>
      </c>
      <c r="B5" s="39">
        <v>34</v>
      </c>
    </row>
    <row r="6" spans="1:2" x14ac:dyDescent="0.25">
      <c r="A6" s="40">
        <v>45649</v>
      </c>
      <c r="B6" s="39">
        <v>32</v>
      </c>
    </row>
    <row r="7" spans="1:2" x14ac:dyDescent="0.25">
      <c r="A7" s="40">
        <v>45650</v>
      </c>
      <c r="B7" s="39">
        <v>27</v>
      </c>
    </row>
    <row r="8" spans="1:2" x14ac:dyDescent="0.25">
      <c r="A8" s="40">
        <v>45651</v>
      </c>
      <c r="B8" s="39">
        <v>13</v>
      </c>
    </row>
    <row r="9" spans="1:2" x14ac:dyDescent="0.25">
      <c r="A9" s="40">
        <v>45652</v>
      </c>
      <c r="B9" s="39">
        <v>18</v>
      </c>
    </row>
    <row r="10" spans="1:2" x14ac:dyDescent="0.25">
      <c r="A10" s="40">
        <v>45653</v>
      </c>
      <c r="B10" s="39">
        <v>14</v>
      </c>
    </row>
    <row r="11" spans="1:2" x14ac:dyDescent="0.25">
      <c r="A11" s="40" t="s">
        <v>393</v>
      </c>
      <c r="B11" s="39">
        <v>172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showGridLines="0" tabSelected="1" topLeftCell="A14" workbookViewId="0">
      <selection activeCell="D7" sqref="D7"/>
    </sheetView>
  </sheetViews>
  <sheetFormatPr defaultRowHeight="15" x14ac:dyDescent="0.25"/>
  <cols>
    <col min="1" max="1" width="13.28515625" customWidth="1"/>
    <col min="2" max="2" width="13.5703125" customWidth="1"/>
    <col min="3" max="3" width="12.42578125" customWidth="1"/>
    <col min="5" max="5" width="13.28515625" customWidth="1"/>
    <col min="6" max="6" width="11" customWidth="1"/>
    <col min="8" max="8" width="15.28515625" customWidth="1"/>
  </cols>
  <sheetData>
    <row r="1" spans="1:8" x14ac:dyDescent="0.25">
      <c r="A1" s="13" t="s">
        <v>142</v>
      </c>
      <c r="B1" s="41" t="s">
        <v>169</v>
      </c>
      <c r="C1" s="41" t="s">
        <v>183</v>
      </c>
      <c r="D1" s="41" t="s">
        <v>155</v>
      </c>
      <c r="E1" s="41" t="s">
        <v>186</v>
      </c>
      <c r="F1" s="41" t="s">
        <v>200</v>
      </c>
      <c r="G1" s="41" t="s">
        <v>201</v>
      </c>
      <c r="H1" s="41" t="s">
        <v>202</v>
      </c>
    </row>
    <row r="2" spans="1:8" x14ac:dyDescent="0.25">
      <c r="A2" s="42">
        <v>45630</v>
      </c>
      <c r="B2" s="13" t="s">
        <v>158</v>
      </c>
      <c r="C2" s="13" t="s">
        <v>170</v>
      </c>
      <c r="D2" s="13" t="s">
        <v>185</v>
      </c>
      <c r="E2" s="13" t="s">
        <v>190</v>
      </c>
      <c r="F2" s="13">
        <v>5</v>
      </c>
      <c r="G2" s="13">
        <v>3000</v>
      </c>
      <c r="H2" s="13">
        <v>34550</v>
      </c>
    </row>
    <row r="3" spans="1:8" x14ac:dyDescent="0.25">
      <c r="A3" s="42">
        <v>45631</v>
      </c>
      <c r="B3" s="13" t="s">
        <v>157</v>
      </c>
      <c r="C3" s="13" t="s">
        <v>173</v>
      </c>
      <c r="D3" s="13" t="s">
        <v>185</v>
      </c>
      <c r="E3" s="13" t="s">
        <v>189</v>
      </c>
      <c r="F3" s="13">
        <v>8</v>
      </c>
      <c r="G3" s="13">
        <v>2250</v>
      </c>
      <c r="H3" s="13">
        <v>34000</v>
      </c>
    </row>
    <row r="4" spans="1:8" x14ac:dyDescent="0.25">
      <c r="A4" s="42">
        <v>45632</v>
      </c>
      <c r="B4" s="13" t="s">
        <v>164</v>
      </c>
      <c r="C4" s="13" t="s">
        <v>179</v>
      </c>
      <c r="D4" s="13" t="s">
        <v>185</v>
      </c>
      <c r="E4" s="13" t="s">
        <v>196</v>
      </c>
      <c r="F4" s="13">
        <v>16</v>
      </c>
      <c r="G4" s="13">
        <v>500</v>
      </c>
      <c r="H4" s="13">
        <v>44070</v>
      </c>
    </row>
    <row r="5" spans="1:8" x14ac:dyDescent="0.25">
      <c r="A5" s="42">
        <v>45633</v>
      </c>
      <c r="B5" s="13" t="s">
        <v>162</v>
      </c>
      <c r="C5" s="13" t="s">
        <v>177</v>
      </c>
      <c r="D5" s="13" t="s">
        <v>184</v>
      </c>
      <c r="E5" s="13" t="s">
        <v>194</v>
      </c>
      <c r="F5" s="13">
        <v>6</v>
      </c>
      <c r="G5" s="13">
        <v>450</v>
      </c>
      <c r="H5" s="13">
        <v>30000</v>
      </c>
    </row>
    <row r="6" spans="1:8" x14ac:dyDescent="0.25">
      <c r="A6" s="42">
        <v>45634</v>
      </c>
      <c r="B6" s="13" t="s">
        <v>165</v>
      </c>
      <c r="C6" s="13" t="s">
        <v>180</v>
      </c>
      <c r="D6" s="13" t="s">
        <v>184</v>
      </c>
      <c r="E6" s="13" t="s">
        <v>197</v>
      </c>
      <c r="F6" s="13">
        <v>17</v>
      </c>
      <c r="G6" s="13">
        <v>430</v>
      </c>
      <c r="H6" s="13">
        <v>61000</v>
      </c>
    </row>
    <row r="7" spans="1:8" x14ac:dyDescent="0.25">
      <c r="A7" s="42">
        <v>45635</v>
      </c>
      <c r="B7" s="13" t="s">
        <v>159</v>
      </c>
      <c r="C7" s="13" t="s">
        <v>174</v>
      </c>
      <c r="D7" s="13" t="s">
        <v>185</v>
      </c>
      <c r="E7" s="13" t="s">
        <v>191</v>
      </c>
      <c r="F7" s="13">
        <v>8</v>
      </c>
      <c r="G7" s="13">
        <v>400</v>
      </c>
      <c r="H7" s="13">
        <v>24000</v>
      </c>
    </row>
    <row r="8" spans="1:8" x14ac:dyDescent="0.25">
      <c r="A8" s="42">
        <v>45636</v>
      </c>
      <c r="B8" s="13" t="s">
        <v>166</v>
      </c>
      <c r="C8" s="13" t="s">
        <v>181</v>
      </c>
      <c r="D8" s="13" t="s">
        <v>184</v>
      </c>
      <c r="E8" s="13" t="s">
        <v>198</v>
      </c>
      <c r="F8" s="13">
        <v>19</v>
      </c>
      <c r="G8" s="13">
        <v>370</v>
      </c>
      <c r="H8" s="13">
        <v>70500</v>
      </c>
    </row>
    <row r="9" spans="1:8" x14ac:dyDescent="0.25">
      <c r="A9" s="42">
        <v>45637</v>
      </c>
      <c r="B9" s="13" t="s">
        <v>163</v>
      </c>
      <c r="C9" s="13" t="s">
        <v>178</v>
      </c>
      <c r="D9" s="13" t="s">
        <v>184</v>
      </c>
      <c r="E9" s="13" t="s">
        <v>195</v>
      </c>
      <c r="F9" s="13">
        <v>10</v>
      </c>
      <c r="G9" s="13">
        <v>340</v>
      </c>
      <c r="H9" s="13">
        <v>20000</v>
      </c>
    </row>
    <row r="10" spans="1:8" x14ac:dyDescent="0.25">
      <c r="A10" s="42">
        <v>45638</v>
      </c>
      <c r="B10" s="13" t="s">
        <v>160</v>
      </c>
      <c r="C10" s="13" t="s">
        <v>175</v>
      </c>
      <c r="D10" s="13" t="s">
        <v>185</v>
      </c>
      <c r="E10" s="13" t="s">
        <v>192</v>
      </c>
      <c r="F10" s="13">
        <v>4</v>
      </c>
      <c r="G10" s="13">
        <v>200</v>
      </c>
      <c r="H10" s="13">
        <v>20600</v>
      </c>
    </row>
    <row r="11" spans="1:8" x14ac:dyDescent="0.25">
      <c r="A11" s="42">
        <v>45639</v>
      </c>
      <c r="B11" s="13" t="s">
        <v>156</v>
      </c>
      <c r="C11" s="13" t="s">
        <v>172</v>
      </c>
      <c r="D11" s="13" t="s">
        <v>184</v>
      </c>
      <c r="E11" s="13" t="s">
        <v>188</v>
      </c>
      <c r="F11" s="13">
        <v>9</v>
      </c>
      <c r="G11" s="13">
        <v>130</v>
      </c>
      <c r="H11" s="13">
        <v>7800</v>
      </c>
    </row>
    <row r="12" spans="1:8" x14ac:dyDescent="0.25">
      <c r="A12" s="42">
        <v>45640</v>
      </c>
      <c r="B12" s="13" t="s">
        <v>167</v>
      </c>
      <c r="C12" s="13" t="s">
        <v>182</v>
      </c>
      <c r="D12" s="13" t="s">
        <v>185</v>
      </c>
      <c r="E12" s="13" t="s">
        <v>199</v>
      </c>
      <c r="F12" s="13">
        <v>12</v>
      </c>
      <c r="G12" s="13">
        <v>120</v>
      </c>
      <c r="H12" s="13">
        <v>20070</v>
      </c>
    </row>
    <row r="13" spans="1:8" x14ac:dyDescent="0.25">
      <c r="A13" s="42">
        <v>45641</v>
      </c>
      <c r="B13" s="13" t="s">
        <v>168</v>
      </c>
      <c r="C13" s="13" t="s">
        <v>171</v>
      </c>
      <c r="D13" s="13" t="s">
        <v>184</v>
      </c>
      <c r="E13" s="13" t="s">
        <v>187</v>
      </c>
      <c r="F13" s="13">
        <v>9</v>
      </c>
      <c r="G13" s="13">
        <v>120</v>
      </c>
      <c r="H13" s="13">
        <v>23900</v>
      </c>
    </row>
    <row r="14" spans="1:8" x14ac:dyDescent="0.25">
      <c r="A14" s="42">
        <v>45642</v>
      </c>
      <c r="B14" s="13" t="s">
        <v>161</v>
      </c>
      <c r="C14" s="13" t="s">
        <v>176</v>
      </c>
      <c r="D14" s="13" t="s">
        <v>185</v>
      </c>
      <c r="E14" s="13" t="s">
        <v>193</v>
      </c>
      <c r="F14" s="13">
        <v>15</v>
      </c>
      <c r="G14" s="13">
        <v>50</v>
      </c>
      <c r="H14" s="13">
        <v>18060</v>
      </c>
    </row>
    <row r="15" spans="1:8" x14ac:dyDescent="0.25">
      <c r="A15" s="42">
        <v>45643</v>
      </c>
      <c r="B15" s="13" t="s">
        <v>158</v>
      </c>
      <c r="C15" s="13" t="s">
        <v>170</v>
      </c>
      <c r="D15" s="13" t="s">
        <v>185</v>
      </c>
      <c r="E15" s="13" t="s">
        <v>378</v>
      </c>
      <c r="F15" s="13">
        <v>12</v>
      </c>
      <c r="G15" s="13">
        <v>250</v>
      </c>
      <c r="H15" s="13">
        <v>25000</v>
      </c>
    </row>
    <row r="16" spans="1:8" x14ac:dyDescent="0.25">
      <c r="A16" s="42">
        <v>45644</v>
      </c>
      <c r="B16" s="13" t="s">
        <v>157</v>
      </c>
      <c r="C16" s="13" t="s">
        <v>173</v>
      </c>
      <c r="D16" s="13" t="s">
        <v>185</v>
      </c>
      <c r="E16" s="13" t="s">
        <v>191</v>
      </c>
      <c r="F16" s="13">
        <v>14</v>
      </c>
      <c r="G16" s="13">
        <v>150</v>
      </c>
      <c r="H16" s="13">
        <v>35000</v>
      </c>
    </row>
    <row r="17" spans="1:8" x14ac:dyDescent="0.25">
      <c r="A17" s="42">
        <v>45645</v>
      </c>
      <c r="B17" s="13" t="s">
        <v>164</v>
      </c>
      <c r="C17" s="13" t="s">
        <v>179</v>
      </c>
      <c r="D17" s="13" t="s">
        <v>185</v>
      </c>
      <c r="E17" s="13" t="s">
        <v>379</v>
      </c>
      <c r="F17" s="13">
        <v>15</v>
      </c>
      <c r="G17" s="13">
        <v>200</v>
      </c>
      <c r="H17" s="13">
        <v>28000</v>
      </c>
    </row>
    <row r="18" spans="1:8" x14ac:dyDescent="0.25">
      <c r="A18" s="42">
        <v>45646</v>
      </c>
      <c r="B18" s="13" t="s">
        <v>162</v>
      </c>
      <c r="C18" s="13" t="s">
        <v>177</v>
      </c>
      <c r="D18" s="13" t="s">
        <v>184</v>
      </c>
      <c r="E18" s="13" t="s">
        <v>380</v>
      </c>
      <c r="F18" s="13">
        <v>16</v>
      </c>
      <c r="G18" s="13">
        <v>250</v>
      </c>
      <c r="H18" s="13">
        <v>36000</v>
      </c>
    </row>
    <row r="19" spans="1:8" x14ac:dyDescent="0.25">
      <c r="A19" s="42">
        <v>45647</v>
      </c>
      <c r="B19" s="13" t="s">
        <v>165</v>
      </c>
      <c r="C19" s="13" t="s">
        <v>180</v>
      </c>
      <c r="D19" s="13" t="s">
        <v>184</v>
      </c>
      <c r="E19" s="13" t="s">
        <v>381</v>
      </c>
      <c r="F19" s="13">
        <v>34</v>
      </c>
      <c r="G19" s="13">
        <v>350</v>
      </c>
      <c r="H19" s="13">
        <v>37000</v>
      </c>
    </row>
    <row r="20" spans="1:8" x14ac:dyDescent="0.25">
      <c r="A20" s="42">
        <v>45648</v>
      </c>
      <c r="B20" s="13" t="s">
        <v>159</v>
      </c>
      <c r="C20" s="13" t="s">
        <v>174</v>
      </c>
      <c r="D20" s="13" t="s">
        <v>185</v>
      </c>
      <c r="E20" s="13" t="s">
        <v>382</v>
      </c>
      <c r="F20" s="13">
        <v>34</v>
      </c>
      <c r="G20" s="13">
        <v>200</v>
      </c>
      <c r="H20" s="13">
        <v>40000</v>
      </c>
    </row>
    <row r="21" spans="1:8" x14ac:dyDescent="0.25">
      <c r="A21" s="42">
        <v>45649</v>
      </c>
      <c r="B21" s="13" t="s">
        <v>166</v>
      </c>
      <c r="C21" s="13" t="s">
        <v>181</v>
      </c>
      <c r="D21" s="13" t="s">
        <v>184</v>
      </c>
      <c r="E21" s="13" t="s">
        <v>383</v>
      </c>
      <c r="F21" s="13">
        <v>32</v>
      </c>
      <c r="G21" s="13">
        <v>300</v>
      </c>
      <c r="H21" s="13">
        <v>55000</v>
      </c>
    </row>
    <row r="22" spans="1:8" x14ac:dyDescent="0.25">
      <c r="A22" s="42">
        <v>45650</v>
      </c>
      <c r="B22" s="13" t="s">
        <v>163</v>
      </c>
      <c r="C22" s="13" t="s">
        <v>178</v>
      </c>
      <c r="D22" s="13" t="s">
        <v>184</v>
      </c>
      <c r="E22" s="13" t="s">
        <v>384</v>
      </c>
      <c r="F22" s="13">
        <v>27</v>
      </c>
      <c r="G22" s="13">
        <v>400</v>
      </c>
      <c r="H22" s="13">
        <v>80000</v>
      </c>
    </row>
    <row r="23" spans="1:8" x14ac:dyDescent="0.25">
      <c r="A23" s="42">
        <v>45651</v>
      </c>
      <c r="B23" s="13" t="s">
        <v>160</v>
      </c>
      <c r="C23" s="13" t="s">
        <v>175</v>
      </c>
      <c r="D23" s="13" t="s">
        <v>185</v>
      </c>
      <c r="E23" s="13" t="s">
        <v>385</v>
      </c>
      <c r="F23" s="13">
        <v>13</v>
      </c>
      <c r="G23" s="13">
        <v>500</v>
      </c>
      <c r="H23" s="13">
        <v>25000</v>
      </c>
    </row>
    <row r="24" spans="1:8" x14ac:dyDescent="0.25">
      <c r="A24" s="42">
        <v>45652</v>
      </c>
      <c r="B24" s="13" t="s">
        <v>156</v>
      </c>
      <c r="C24" s="13" t="s">
        <v>172</v>
      </c>
      <c r="D24" s="13" t="s">
        <v>184</v>
      </c>
      <c r="E24" s="13" t="s">
        <v>386</v>
      </c>
      <c r="F24" s="13">
        <v>18</v>
      </c>
      <c r="G24" s="13">
        <v>550</v>
      </c>
      <c r="H24" s="13">
        <v>21000</v>
      </c>
    </row>
    <row r="25" spans="1:8" x14ac:dyDescent="0.25">
      <c r="A25" s="42">
        <v>45653</v>
      </c>
      <c r="B25" s="13" t="s">
        <v>167</v>
      </c>
      <c r="C25" s="13" t="s">
        <v>182</v>
      </c>
      <c r="D25" s="13" t="s">
        <v>185</v>
      </c>
      <c r="E25" s="13" t="s">
        <v>387</v>
      </c>
      <c r="F25" s="13">
        <v>14</v>
      </c>
      <c r="G25" s="13">
        <v>5000</v>
      </c>
      <c r="H25" s="13">
        <v>56000</v>
      </c>
    </row>
    <row r="26" spans="1:8" x14ac:dyDescent="0.25">
      <c r="A26" s="42">
        <v>45654</v>
      </c>
      <c r="B26" s="13" t="s">
        <v>168</v>
      </c>
      <c r="C26" s="13" t="s">
        <v>171</v>
      </c>
      <c r="D26" s="13" t="s">
        <v>184</v>
      </c>
      <c r="E26" s="13" t="s">
        <v>388</v>
      </c>
      <c r="F26" s="13">
        <v>20</v>
      </c>
      <c r="G26" s="13">
        <v>200</v>
      </c>
      <c r="H26" s="13">
        <v>25000</v>
      </c>
    </row>
    <row r="27" spans="1:8" x14ac:dyDescent="0.25">
      <c r="A27" s="42">
        <v>45655</v>
      </c>
      <c r="B27" s="13" t="s">
        <v>161</v>
      </c>
      <c r="C27" s="13" t="s">
        <v>176</v>
      </c>
      <c r="D27" s="13" t="s">
        <v>185</v>
      </c>
      <c r="E27" s="13" t="s">
        <v>389</v>
      </c>
      <c r="F27" s="13">
        <v>30</v>
      </c>
      <c r="G27" s="13">
        <v>250</v>
      </c>
      <c r="H27" s="13">
        <v>19000</v>
      </c>
    </row>
    <row r="28" spans="1:8" x14ac:dyDescent="0.25">
      <c r="A28" s="42">
        <v>45656</v>
      </c>
      <c r="B28" s="13" t="s">
        <v>159</v>
      </c>
      <c r="C28" s="13" t="s">
        <v>174</v>
      </c>
      <c r="D28" s="13" t="s">
        <v>185</v>
      </c>
      <c r="E28" s="13" t="s">
        <v>390</v>
      </c>
      <c r="F28" s="13">
        <v>32</v>
      </c>
      <c r="G28" s="13">
        <v>120</v>
      </c>
      <c r="H28" s="13">
        <v>20000</v>
      </c>
    </row>
    <row r="29" spans="1:8" x14ac:dyDescent="0.25">
      <c r="A29" s="42">
        <v>45657</v>
      </c>
      <c r="B29" s="13" t="s">
        <v>158</v>
      </c>
      <c r="C29" s="13" t="s">
        <v>170</v>
      </c>
      <c r="D29" s="13" t="s">
        <v>185</v>
      </c>
      <c r="E29" s="13" t="s">
        <v>391</v>
      </c>
      <c r="F29" s="13">
        <v>29</v>
      </c>
      <c r="G29" s="13">
        <v>200</v>
      </c>
      <c r="H29" s="13">
        <v>21000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logical ftn</vt:lpstr>
      <vt:lpstr>AND OR FTN</vt:lpstr>
      <vt:lpstr>SORT AND FILTER</vt:lpstr>
      <vt:lpstr>V_LOOKUP</vt:lpstr>
      <vt:lpstr>V_LOOKUP 2</vt:lpstr>
      <vt:lpstr>V_LOOKUP WITH MATCH</vt:lpstr>
      <vt:lpstr>MATCH AND INDEX</vt:lpstr>
      <vt:lpstr>STATISTICAL FORMULAS</vt:lpstr>
      <vt:lpstr>date formulas</vt:lpstr>
      <vt:lpstr>date 2</vt:lpstr>
      <vt:lpstr>NETWORK DAYS</vt:lpstr>
      <vt:lpstr>PIVOT TABLE 2</vt:lpstr>
      <vt:lpstr>PIVOT TABLE 3</vt:lpstr>
      <vt:lpstr>PIVOT TABLE 1</vt:lpstr>
      <vt:lpstr>EMP_TYPE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2025-12-20T13:35:04Z</dcterms:created>
  <dcterms:modified xsi:type="dcterms:W3CDTF">2026-08-23T17:06:56Z</dcterms:modified>
</cp:coreProperties>
</file>