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 defaultThemeVersion="164011"/>
  <mc:AlternateContent xmlns:mc="http://schemas.openxmlformats.org/markup-compatibility/2006">
    <mc:Choice Requires="x15">
      <x15ac:absPath xmlns:x15ac="http://schemas.microsoft.com/office/spreadsheetml/2010/11/ac" url="C:\Users\hp\OneDrive\Documents\"/>
    </mc:Choice>
  </mc:AlternateContent>
  <bookViews>
    <workbookView xWindow="0" yWindow="0" windowWidth="20490" windowHeight="6750"/>
  </bookViews>
  <sheets>
    <sheet name="DASHBORAD" sheetId="2" r:id="rId1"/>
    <sheet name="RAW DATA" sheetId="1" r:id="rId2"/>
  </sheets>
  <calcPr calcId="162913"/>
  <pivotCaches>
    <pivotCache cacheId="1" r:id="rId3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3" i="1" l="1"/>
  <c r="I3" i="1" l="1"/>
  <c r="K3" i="1" s="1"/>
  <c r="I4" i="1"/>
  <c r="K4" i="1" s="1"/>
  <c r="L4" i="1" s="1"/>
  <c r="I5" i="1"/>
  <c r="K5" i="1" s="1"/>
  <c r="L5" i="1" s="1"/>
  <c r="I6" i="1"/>
  <c r="K6" i="1" s="1"/>
  <c r="L6" i="1" s="1"/>
  <c r="I7" i="1"/>
  <c r="K7" i="1" s="1"/>
  <c r="L7" i="1" s="1"/>
  <c r="I8" i="1"/>
  <c r="K8" i="1" s="1"/>
  <c r="L8" i="1" s="1"/>
  <c r="I9" i="1"/>
  <c r="K9" i="1" s="1"/>
  <c r="L9" i="1" s="1"/>
  <c r="I10" i="1"/>
  <c r="K10" i="1" s="1"/>
  <c r="L10" i="1" s="1"/>
  <c r="I11" i="1"/>
  <c r="K11" i="1" s="1"/>
  <c r="L11" i="1" s="1"/>
  <c r="I12" i="1"/>
  <c r="K12" i="1" s="1"/>
  <c r="L12" i="1" s="1"/>
  <c r="I13" i="1"/>
  <c r="K13" i="1" s="1"/>
  <c r="L13" i="1" s="1"/>
  <c r="I14" i="1"/>
  <c r="K14" i="1" s="1"/>
  <c r="L14" i="1" s="1"/>
  <c r="I15" i="1"/>
  <c r="K15" i="1" s="1"/>
  <c r="L15" i="1" s="1"/>
  <c r="I16" i="1"/>
  <c r="K16" i="1" s="1"/>
  <c r="L16" i="1" s="1"/>
  <c r="I17" i="1"/>
  <c r="K17" i="1" s="1"/>
  <c r="L17" i="1" s="1"/>
  <c r="I18" i="1"/>
  <c r="K18" i="1" s="1"/>
  <c r="L18" i="1" s="1"/>
  <c r="I19" i="1"/>
  <c r="K19" i="1" s="1"/>
  <c r="L19" i="1" s="1"/>
  <c r="I20" i="1"/>
  <c r="K20" i="1" s="1"/>
  <c r="L20" i="1" s="1"/>
  <c r="I21" i="1"/>
  <c r="K21" i="1" s="1"/>
  <c r="L21" i="1" s="1"/>
  <c r="I22" i="1"/>
  <c r="K22" i="1" s="1"/>
  <c r="L22" i="1" s="1"/>
  <c r="I23" i="1"/>
  <c r="K23" i="1" s="1"/>
  <c r="L23" i="1" s="1"/>
  <c r="I24" i="1"/>
  <c r="K24" i="1" s="1"/>
  <c r="L24" i="1" s="1"/>
  <c r="I25" i="1"/>
  <c r="K25" i="1" s="1"/>
  <c r="L25" i="1" s="1"/>
  <c r="I26" i="1"/>
  <c r="K26" i="1" s="1"/>
  <c r="L26" i="1" s="1"/>
  <c r="I27" i="1"/>
  <c r="K27" i="1" s="1"/>
  <c r="L27" i="1" s="1"/>
  <c r="I28" i="1"/>
  <c r="K28" i="1" s="1"/>
  <c r="L28" i="1" s="1"/>
  <c r="I29" i="1"/>
  <c r="K29" i="1" s="1"/>
  <c r="L29" i="1" s="1"/>
  <c r="I30" i="1"/>
  <c r="K30" i="1" s="1"/>
  <c r="L30" i="1" s="1"/>
  <c r="I31" i="1"/>
  <c r="K31" i="1" s="1"/>
  <c r="L31" i="1" s="1"/>
  <c r="I32" i="1"/>
  <c r="K32" i="1" s="1"/>
  <c r="L32" i="1" s="1"/>
  <c r="I33" i="1"/>
  <c r="K33" i="1" s="1"/>
  <c r="L33" i="1" s="1"/>
  <c r="I34" i="1"/>
  <c r="K34" i="1" s="1"/>
  <c r="L34" i="1" s="1"/>
  <c r="I35" i="1"/>
  <c r="K35" i="1" s="1"/>
  <c r="L35" i="1" s="1"/>
  <c r="I36" i="1"/>
  <c r="K36" i="1" s="1"/>
  <c r="L36" i="1" s="1"/>
  <c r="I37" i="1"/>
  <c r="K37" i="1" s="1"/>
  <c r="L37" i="1" s="1"/>
  <c r="I38" i="1"/>
  <c r="K38" i="1" s="1"/>
  <c r="L38" i="1" s="1"/>
  <c r="I39" i="1"/>
  <c r="K39" i="1" s="1"/>
  <c r="L39" i="1" s="1"/>
  <c r="I40" i="1"/>
  <c r="K40" i="1" s="1"/>
  <c r="L40" i="1" s="1"/>
  <c r="I41" i="1"/>
  <c r="K41" i="1" s="1"/>
  <c r="L41" i="1" s="1"/>
  <c r="I42" i="1"/>
  <c r="K42" i="1" s="1"/>
  <c r="L42" i="1" s="1"/>
  <c r="I43" i="1"/>
  <c r="K43" i="1" s="1"/>
  <c r="L43" i="1" s="1"/>
  <c r="I44" i="1"/>
  <c r="K44" i="1" s="1"/>
  <c r="L44" i="1" s="1"/>
  <c r="I45" i="1"/>
  <c r="K45" i="1" s="1"/>
  <c r="L45" i="1" s="1"/>
  <c r="I46" i="1"/>
  <c r="K46" i="1" s="1"/>
  <c r="L46" i="1" s="1"/>
  <c r="I47" i="1"/>
  <c r="K47" i="1" s="1"/>
  <c r="L47" i="1" s="1"/>
  <c r="I48" i="1"/>
  <c r="K48" i="1" s="1"/>
  <c r="L48" i="1" s="1"/>
  <c r="I49" i="1"/>
  <c r="K49" i="1" s="1"/>
  <c r="L49" i="1" s="1"/>
  <c r="I50" i="1"/>
  <c r="K50" i="1" s="1"/>
  <c r="L50" i="1" s="1"/>
  <c r="I2" i="1"/>
  <c r="K2" i="1" s="1"/>
  <c r="L2" i="1" s="1"/>
</calcChain>
</file>

<file path=xl/sharedStrings.xml><?xml version="1.0" encoding="utf-8"?>
<sst xmlns="http://schemas.openxmlformats.org/spreadsheetml/2006/main" count="189" uniqueCount="162">
  <si>
    <t>EMP CODE</t>
  </si>
  <si>
    <t>SALES EXECUTIVE</t>
  </si>
  <si>
    <t>REGION</t>
  </si>
  <si>
    <t>DAY 1</t>
  </si>
  <si>
    <t>DAY 2</t>
  </si>
  <si>
    <t>DAY 3</t>
  </si>
  <si>
    <t>DAY 4</t>
  </si>
  <si>
    <t>DAY 5</t>
  </si>
  <si>
    <t xml:space="preserve">TOTAL SALE </t>
  </si>
  <si>
    <t xml:space="preserve">TARGET </t>
  </si>
  <si>
    <t>TARGET HIT %</t>
  </si>
  <si>
    <t>AWAY FROM TARGET %</t>
  </si>
  <si>
    <t>EMP_001</t>
  </si>
  <si>
    <t>EMP_002</t>
  </si>
  <si>
    <t>EMP_003</t>
  </si>
  <si>
    <t>EMP_004</t>
  </si>
  <si>
    <t>EMP_005</t>
  </si>
  <si>
    <t>EMP_006</t>
  </si>
  <si>
    <t>EMP_007</t>
  </si>
  <si>
    <t>EMP_008</t>
  </si>
  <si>
    <t>EMP_009</t>
  </si>
  <si>
    <t>EMP_010</t>
  </si>
  <si>
    <t>EMP_011</t>
  </si>
  <si>
    <t>EMP_012</t>
  </si>
  <si>
    <t>EMP_013</t>
  </si>
  <si>
    <t>EMP_014</t>
  </si>
  <si>
    <t>EMP_015</t>
  </si>
  <si>
    <t>EMP_016</t>
  </si>
  <si>
    <t>EMP_017</t>
  </si>
  <si>
    <t>EMP_018</t>
  </si>
  <si>
    <t>EMP_019</t>
  </si>
  <si>
    <t>EMP_020</t>
  </si>
  <si>
    <t>EMP_021</t>
  </si>
  <si>
    <t>EMP_022</t>
  </si>
  <si>
    <t>EMP_023</t>
  </si>
  <si>
    <t>EMP_024</t>
  </si>
  <si>
    <t>EMP_025</t>
  </si>
  <si>
    <t>EMP_026</t>
  </si>
  <si>
    <t>EMP_027</t>
  </si>
  <si>
    <t>EMP_028</t>
  </si>
  <si>
    <t>EMP_029</t>
  </si>
  <si>
    <t>EMP_030</t>
  </si>
  <si>
    <t>EMP_031</t>
  </si>
  <si>
    <t>EMP_032</t>
  </si>
  <si>
    <t>EMP_033</t>
  </si>
  <si>
    <t>EMP_034</t>
  </si>
  <si>
    <t>EMP_035</t>
  </si>
  <si>
    <t>EMP_036</t>
  </si>
  <si>
    <t>EMP_037</t>
  </si>
  <si>
    <t>EMP_038</t>
  </si>
  <si>
    <t>EMP_039</t>
  </si>
  <si>
    <t>EMP_040</t>
  </si>
  <si>
    <t>EMP_041</t>
  </si>
  <si>
    <t>EMP_042</t>
  </si>
  <si>
    <t>EMP_043</t>
  </si>
  <si>
    <t>EMP_044</t>
  </si>
  <si>
    <t>EMP_045</t>
  </si>
  <si>
    <t>EMP_046</t>
  </si>
  <si>
    <t>EMP_047</t>
  </si>
  <si>
    <t>EMP_048</t>
  </si>
  <si>
    <t>EMP_049</t>
  </si>
  <si>
    <t>SHAFIQ</t>
  </si>
  <si>
    <t>AHMAD</t>
  </si>
  <si>
    <t>SHAYAN</t>
  </si>
  <si>
    <t xml:space="preserve">ZAIN </t>
  </si>
  <si>
    <t>AYAN</t>
  </si>
  <si>
    <t>UMAR</t>
  </si>
  <si>
    <t>UMAIR</t>
  </si>
  <si>
    <t>SAIF</t>
  </si>
  <si>
    <t>AZMAT</t>
  </si>
  <si>
    <t>ALI</t>
  </si>
  <si>
    <t>ZOHAIB</t>
  </si>
  <si>
    <t>MANSOOR</t>
  </si>
  <si>
    <t>JAMAL</t>
  </si>
  <si>
    <t>SULAIMAN</t>
  </si>
  <si>
    <t>NAVEED</t>
  </si>
  <si>
    <t>ADIL</t>
  </si>
  <si>
    <t>HASSAN</t>
  </si>
  <si>
    <t>ABUZAR</t>
  </si>
  <si>
    <t>MANZOOR</t>
  </si>
  <si>
    <t>SHAKIR</t>
  </si>
  <si>
    <t>MARYAM</t>
  </si>
  <si>
    <t>MUSKAN</t>
  </si>
  <si>
    <t>AYSHA</t>
  </si>
  <si>
    <t>AMAN</t>
  </si>
  <si>
    <t>SANA</t>
  </si>
  <si>
    <t>ZUBI</t>
  </si>
  <si>
    <t>ZUBAIR</t>
  </si>
  <si>
    <t>ZIA</t>
  </si>
  <si>
    <t>SAAD</t>
  </si>
  <si>
    <t>SADDAM</t>
  </si>
  <si>
    <t>ZAKRIYA</t>
  </si>
  <si>
    <t>FAISAL</t>
  </si>
  <si>
    <t>MUTAHER</t>
  </si>
  <si>
    <t>MUJTABA</t>
  </si>
  <si>
    <t>FAHAD</t>
  </si>
  <si>
    <t>FAIZAN</t>
  </si>
  <si>
    <t>ABBAS</t>
  </si>
  <si>
    <t>ALI SHER</t>
  </si>
  <si>
    <t>MALAK AZIZ</t>
  </si>
  <si>
    <t>SUDAIS</t>
  </si>
  <si>
    <t>SABA</t>
  </si>
  <si>
    <t>NOOR</t>
  </si>
  <si>
    <t>SAWERA</t>
  </si>
  <si>
    <t>YASIR</t>
  </si>
  <si>
    <t>SAQIB</t>
  </si>
  <si>
    <t>AWAIS</t>
  </si>
  <si>
    <t>WAQAS</t>
  </si>
  <si>
    <t>KAML</t>
  </si>
  <si>
    <t>PUNJAB</t>
  </si>
  <si>
    <t>SINDH</t>
  </si>
  <si>
    <t>KPK</t>
  </si>
  <si>
    <t>BALOCHISTAN</t>
  </si>
  <si>
    <t>GILGIT BALCHISTAN</t>
  </si>
  <si>
    <t>AZAD KASHMIR</t>
  </si>
  <si>
    <t>CALIFORNIA</t>
  </si>
  <si>
    <t>TEXAS</t>
  </si>
  <si>
    <t>FLORIDA</t>
  </si>
  <si>
    <t>QUEBEC</t>
  </si>
  <si>
    <t>ONATRIO</t>
  </si>
  <si>
    <t>ALBERTA</t>
  </si>
  <si>
    <t>COLUMBIA</t>
  </si>
  <si>
    <t>NEW YORK</t>
  </si>
  <si>
    <t>SCOTLAND</t>
  </si>
  <si>
    <t>WALES</t>
  </si>
  <si>
    <t>IRELAND</t>
  </si>
  <si>
    <t>BAVARIA</t>
  </si>
  <si>
    <t>SAXONY</t>
  </si>
  <si>
    <t>NORMANDY</t>
  </si>
  <si>
    <t>FRANCE</t>
  </si>
  <si>
    <t>CATALONIA</t>
  </si>
  <si>
    <t>ANDALUSIA</t>
  </si>
  <si>
    <t>TUSCANY</t>
  </si>
  <si>
    <t>LOMBARDY</t>
  </si>
  <si>
    <t>KERALA</t>
  </si>
  <si>
    <t>GUJARAT</t>
  </si>
  <si>
    <t>TAMIL NADU</t>
  </si>
  <si>
    <t>MASHARASHTA</t>
  </si>
  <si>
    <t>XINJIANG</t>
  </si>
  <si>
    <t>TIBET</t>
  </si>
  <si>
    <t>TOKYO</t>
  </si>
  <si>
    <t>OSAKA</t>
  </si>
  <si>
    <t>QUEENSLAND</t>
  </si>
  <si>
    <t>VICTORIA</t>
  </si>
  <si>
    <t>RIYADH</t>
  </si>
  <si>
    <t>MAKKAH</t>
  </si>
  <si>
    <t>ALGIERS</t>
  </si>
  <si>
    <t>NAIROBI</t>
  </si>
  <si>
    <t>MOSCOW</t>
  </si>
  <si>
    <t>LAGOS</t>
  </si>
  <si>
    <t>DHAKA</t>
  </si>
  <si>
    <t>BAGHADAD</t>
  </si>
  <si>
    <t>BIHAR</t>
  </si>
  <si>
    <t>MANIPUR</t>
  </si>
  <si>
    <t>TRIPURA</t>
  </si>
  <si>
    <t>HUNAN</t>
  </si>
  <si>
    <t>YUNNAN</t>
  </si>
  <si>
    <t>HUBEI</t>
  </si>
  <si>
    <t>Grand Total</t>
  </si>
  <si>
    <t xml:space="preserve">TOTAL SALES </t>
  </si>
  <si>
    <t>TARGET HIT % WISE</t>
  </si>
  <si>
    <t>Sum of AWAY FROM TARGET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</si>
</sst>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1" fillId="2" borderId="1" xfId="0" applyFont="1" applyFill="1" applyBorder="1"/>
    <xf numFmtId="0" fontId="1" fillId="3" borderId="0" xfId="0" applyFont="1" applyFill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9" fontId="0" fillId="0" borderId="0" xfId="0" applyNumberFormat="1"/>
    <xf numFmtId="0" fontId="0" fillId="4" borderId="0" xfId="0" applyFill="1"/>
    <xf numFmtId="0" fontId="0" fillId="4" borderId="0" xfId="0" applyFill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[dashborad data.xlsx]DASHBORAD!PivotTable1</c:name>
    <c:fmtId val="0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solidFill>
              <a:srgbClr val="FFFF00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>
        <c:manualLayout>
          <c:layoutTarget val="inner"/>
          <c:xMode val="edge"/>
          <c:yMode val="edge"/>
          <c:x val="6.894984280811052E-2"/>
          <c:y val="0.10931712314413904"/>
          <c:w val="0.93105015719188944"/>
          <c:h val="0.7936254661394550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DASHBORAD!$B$5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DASHBORAD!$A$6:$A$11</c:f>
              <c:strCache>
                <c:ptCount val="5"/>
                <c:pt idx="0">
                  <c:v>ALI</c:v>
                </c:pt>
                <c:pt idx="1">
                  <c:v>FAISAL</c:v>
                </c:pt>
                <c:pt idx="2">
                  <c:v>MUSKAN</c:v>
                </c:pt>
                <c:pt idx="3">
                  <c:v>SADDAM</c:v>
                </c:pt>
                <c:pt idx="4">
                  <c:v>ZAKRIYA</c:v>
                </c:pt>
              </c:strCache>
            </c:strRef>
          </c:cat>
          <c:val>
            <c:numRef>
              <c:f>DASHBORAD!$B$6:$B$11</c:f>
              <c:numCache>
                <c:formatCode>General</c:formatCode>
                <c:ptCount val="5"/>
                <c:pt idx="0">
                  <c:v>645</c:v>
                </c:pt>
                <c:pt idx="1">
                  <c:v>455</c:v>
                </c:pt>
                <c:pt idx="2">
                  <c:v>475</c:v>
                </c:pt>
                <c:pt idx="3">
                  <c:v>470</c:v>
                </c:pt>
                <c:pt idx="4">
                  <c:v>465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BE6-45D7-91D8-C29713B934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63027184"/>
        <c:axId val="363028496"/>
      </c:barChart>
      <c:catAx>
        <c:axId val="3630271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3028496"/>
        <c:crosses val="autoZero"/>
        <c:auto val="1"/>
        <c:lblAlgn val="ctr"/>
        <c:lblOffset val="100"/>
        <c:noMultiLvlLbl val="0"/>
      </c:catAx>
      <c:valAx>
        <c:axId val="363028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30271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8359251968503938"/>
          <c:y val="0.45991980169145524"/>
          <c:w val="1.6407480314960626E-2"/>
          <c:h val="8.159776902887140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[dashborad data.xlsx]DASHBORAD!PivotTable3</c:name>
    <c:fmtId val="0"/>
  </c:pivotSource>
  <c:chart>
    <c:autoTitleDeleted val="1"/>
    <c:pivotFmts>
      <c:pivotFmt>
        <c:idx val="0"/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layout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</c:pivotFmts>
    <c:plotArea>
      <c:layout>
        <c:manualLayout>
          <c:layoutTarget val="inner"/>
          <c:xMode val="edge"/>
          <c:yMode val="edge"/>
          <c:x val="0.1869306649168854"/>
          <c:y val="0.14193206065069205"/>
          <c:w val="0.51037264572697638"/>
          <c:h val="0.66825770879359503"/>
        </c:manualLayout>
      </c:layout>
      <c:pieChart>
        <c:varyColors val="1"/>
        <c:ser>
          <c:idx val="0"/>
          <c:order val="0"/>
          <c:tx>
            <c:strRef>
              <c:f>DASHBORAD!$H$5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41EC-4625-950F-5B74B82D6B3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41EC-4625-950F-5B74B82D6B3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41EC-4625-950F-5B74B82D6B3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41EC-4625-950F-5B74B82D6B3C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41EC-4625-950F-5B74B82D6B3C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DASHBORAD!$G$6:$G$10</c:f>
              <c:strCache>
                <c:ptCount val="5"/>
                <c:pt idx="0">
                  <c:v>ALI</c:v>
                </c:pt>
                <c:pt idx="1">
                  <c:v>FAISAL</c:v>
                </c:pt>
                <c:pt idx="2">
                  <c:v>MUSKAN</c:v>
                </c:pt>
                <c:pt idx="3">
                  <c:v>SADDAM</c:v>
                </c:pt>
                <c:pt idx="4">
                  <c:v>ZAKRIYA</c:v>
                </c:pt>
              </c:strCache>
            </c:strRef>
          </c:cat>
          <c:val>
            <c:numRef>
              <c:f>DASHBORAD!$H$6:$H$10</c:f>
              <c:numCache>
                <c:formatCode>0%</c:formatCode>
                <c:ptCount val="5"/>
                <c:pt idx="0">
                  <c:v>129</c:v>
                </c:pt>
                <c:pt idx="1">
                  <c:v>91</c:v>
                </c:pt>
                <c:pt idx="2">
                  <c:v>95</c:v>
                </c:pt>
                <c:pt idx="3">
                  <c:v>94</c:v>
                </c:pt>
                <c:pt idx="4">
                  <c:v>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A46-4036-B259-69A316603AAC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9305555555555554"/>
          <c:y val="0.34533537474482356"/>
          <c:w val="0.24480941747953147"/>
          <c:h val="0.40467909137257124"/>
        </c:manualLayout>
      </c:layout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[dashborad data.xlsx]DASHBORAD!PivotTable4</c:name>
    <c:fmtId val="0"/>
  </c:pivotSource>
  <c:chart>
    <c:autoTitleDeleted val="1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DASHBORAD!$K$5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DASHBORAD!$J$6:$J$10</c:f>
              <c:strCache>
                <c:ptCount val="5"/>
                <c:pt idx="0">
                  <c:v>ALI</c:v>
                </c:pt>
                <c:pt idx="1">
                  <c:v>ALI SHER</c:v>
                </c:pt>
                <c:pt idx="2">
                  <c:v>AMAN</c:v>
                </c:pt>
                <c:pt idx="3">
                  <c:v>AYSHA</c:v>
                </c:pt>
                <c:pt idx="4">
                  <c:v>SANA</c:v>
                </c:pt>
              </c:strCache>
            </c:strRef>
          </c:cat>
          <c:val>
            <c:numRef>
              <c:f>DASHBORAD!$K$6:$K$10</c:f>
              <c:numCache>
                <c:formatCode>0%</c:formatCode>
                <c:ptCount val="5"/>
                <c:pt idx="0">
                  <c:v>-71</c:v>
                </c:pt>
                <c:pt idx="1">
                  <c:v>-64</c:v>
                </c:pt>
                <c:pt idx="2">
                  <c:v>-71</c:v>
                </c:pt>
                <c:pt idx="3">
                  <c:v>-65</c:v>
                </c:pt>
                <c:pt idx="4">
                  <c:v>-62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E49-4CA6-A6E4-48DD876E4D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32083136"/>
        <c:axId val="363024888"/>
      </c:lineChart>
      <c:catAx>
        <c:axId val="4320831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3024888"/>
        <c:crosses val="autoZero"/>
        <c:auto val="1"/>
        <c:lblAlgn val="ctr"/>
        <c:lblOffset val="100"/>
        <c:noMultiLvlLbl val="0"/>
      </c:catAx>
      <c:valAx>
        <c:axId val="363024888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crossAx val="4320831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66675</xdr:colOff>
      <xdr:row>12</xdr:row>
      <xdr:rowOff>104775</xdr:rowOff>
    </xdr:from>
    <xdr:to>
      <xdr:col>5</xdr:col>
      <xdr:colOff>66675</xdr:colOff>
      <xdr:row>25</xdr:row>
      <xdr:rowOff>28576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66676</xdr:colOff>
      <xdr:row>11</xdr:row>
      <xdr:rowOff>28575</xdr:rowOff>
    </xdr:from>
    <xdr:to>
      <xdr:col>9</xdr:col>
      <xdr:colOff>38101</xdr:colOff>
      <xdr:row>25</xdr:row>
      <xdr:rowOff>9525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171449</xdr:colOff>
      <xdr:row>12</xdr:row>
      <xdr:rowOff>114300</xdr:rowOff>
    </xdr:from>
    <xdr:to>
      <xdr:col>11</xdr:col>
      <xdr:colOff>447675</xdr:colOff>
      <xdr:row>25</xdr:row>
      <xdr:rowOff>123824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Moorche" refreshedDate="46025.853795486109" createdVersion="6" refreshedVersion="6" minRefreshableVersion="3" recordCount="49">
  <cacheSource type="worksheet">
    <worksheetSource ref="A1:L50" sheet="RAW DATA"/>
  </cacheSource>
  <cacheFields count="12">
    <cacheField name="EMP CODE" numFmtId="0">
      <sharedItems/>
    </cacheField>
    <cacheField name="SALES EXECUTIVE" numFmtId="0">
      <sharedItems count="48">
        <s v="SHAFIQ"/>
        <s v="AHMAD"/>
        <s v="SHAYAN"/>
        <s v="ZAIN "/>
        <s v="AYAN"/>
        <s v="UMAR"/>
        <s v="UMAIR"/>
        <s v="SAIF"/>
        <s v="AZMAT"/>
        <s v="ALI"/>
        <s v="ZOHAIB"/>
        <s v="MANSOOR"/>
        <s v="JAMAL"/>
        <s v="SULAIMAN"/>
        <s v="NAVEED"/>
        <s v="ADIL"/>
        <s v="HASSAN"/>
        <s v="ABUZAR"/>
        <s v="MANZOOR"/>
        <s v="SHAKIR"/>
        <s v="MARYAM"/>
        <s v="MUSKAN"/>
        <s v="AYSHA"/>
        <s v="AMAN"/>
        <s v="SANA"/>
        <s v="ZUBI"/>
        <s v="ZUBAIR"/>
        <s v="ZIA"/>
        <s v="SAAD"/>
        <s v="SADDAM"/>
        <s v="ZAKRIYA"/>
        <s v="FAISAL"/>
        <s v="MUTAHER"/>
        <s v="MUJTABA"/>
        <s v="FAHAD"/>
        <s v="FAIZAN"/>
        <s v="ABBAS"/>
        <s v="ALI SHER"/>
        <s v="MALAK AZIZ"/>
        <s v="SUDAIS"/>
        <s v="SABA"/>
        <s v="NOOR"/>
        <s v="SAWERA"/>
        <s v="YASIR"/>
        <s v="SAQIB"/>
        <s v="AWAIS"/>
        <s v="WAQAS"/>
        <s v="KAML"/>
      </sharedItems>
    </cacheField>
    <cacheField name="REGION" numFmtId="0">
      <sharedItems count="49">
        <s v="NEW YORK"/>
        <s v="SINDH"/>
        <s v="KPK"/>
        <s v="BALOCHISTAN"/>
        <s v="GILGIT BALCHISTAN"/>
        <s v="AZAD KASHMIR"/>
        <s v="CALIFORNIA"/>
        <s v="TEXAS"/>
        <s v="FLORIDA"/>
        <s v="PUNJAB"/>
        <s v="QUEBEC"/>
        <s v="ONATRIO"/>
        <s v="ALBERTA"/>
        <s v="COLUMBIA"/>
        <s v="SCOTLAND"/>
        <s v="WALES"/>
        <s v="IRELAND"/>
        <s v="BAVARIA"/>
        <s v="SAXONY"/>
        <s v="NORMANDY"/>
        <s v="FRANCE"/>
        <s v="CATALONIA"/>
        <s v="ANDALUSIA"/>
        <s v="TUSCANY"/>
        <s v="LOMBARDY"/>
        <s v="KERALA"/>
        <s v="GUJARAT"/>
        <s v="TAMIL NADU"/>
        <s v="MASHARASHTA"/>
        <s v="XINJIANG"/>
        <s v="TIBET"/>
        <s v="TOKYO"/>
        <s v="OSAKA"/>
        <s v="QUEENSLAND"/>
        <s v="VICTORIA"/>
        <s v="RIYADH"/>
        <s v="MAKKAH"/>
        <s v="ALGIERS"/>
        <s v="NAIROBI"/>
        <s v="MOSCOW"/>
        <s v="LAGOS"/>
        <s v="DHAKA"/>
        <s v="BAGHADAD"/>
        <s v="BIHAR"/>
        <s v="MANIPUR"/>
        <s v="TRIPURA"/>
        <s v="HUNAN"/>
        <s v="YUNNAN"/>
        <s v="HUBEI"/>
      </sharedItems>
    </cacheField>
    <cacheField name="DAY 1" numFmtId="0">
      <sharedItems containsSemiMixedTypes="0" containsString="0" containsNumber="1" containsInteger="1" minValue="29" maxValue="95"/>
    </cacheField>
    <cacheField name="DAY 2" numFmtId="0">
      <sharedItems containsSemiMixedTypes="0" containsString="0" containsNumber="1" containsInteger="1" minValue="29" maxValue="95"/>
    </cacheField>
    <cacheField name="DAY 3" numFmtId="0">
      <sharedItems containsSemiMixedTypes="0" containsString="0" containsNumber="1" containsInteger="1" minValue="29" maxValue="95"/>
    </cacheField>
    <cacheField name="DAY 4" numFmtId="0">
      <sharedItems containsSemiMixedTypes="0" containsString="0" containsNumber="1" containsInteger="1" minValue="29" maxValue="98"/>
    </cacheField>
    <cacheField name="DAY 5" numFmtId="0">
      <sharedItems containsSemiMixedTypes="0" containsString="0" containsNumber="1" containsInteger="1" minValue="29" maxValue="95"/>
    </cacheField>
    <cacheField name="TOTAL SALE " numFmtId="0">
      <sharedItems containsSemiMixedTypes="0" containsString="0" containsNumber="1" containsInteger="1" minValue="145" maxValue="475"/>
    </cacheField>
    <cacheField name="TARGET " numFmtId="0">
      <sharedItems containsSemiMixedTypes="0" containsString="0" containsNumber="1" containsInteger="1" minValue="500" maxValue="500"/>
    </cacheField>
    <cacheField name="TARGET HIT %" numFmtId="0">
      <sharedItems containsSemiMixedTypes="0" containsString="0" containsNumber="1" minValue="28.999999999999996" maxValue="95"/>
    </cacheField>
    <cacheField name="AWAY FROM TARGET %" numFmtId="0">
      <sharedItems containsSemiMixedTypes="0" containsString="0" containsNumber="1" minValue="-71" maxValue="-5"/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49">
  <r>
    <s v="EMP_001"/>
    <x v="0"/>
    <x v="0"/>
    <n v="80"/>
    <n v="88"/>
    <n v="78"/>
    <n v="79"/>
    <n v="58"/>
    <n v="383"/>
    <n v="500"/>
    <n v="76.599999999999994"/>
    <n v="-23.400000000000006"/>
  </r>
  <r>
    <s v="EMP_002"/>
    <x v="1"/>
    <x v="1"/>
    <n v="55"/>
    <n v="55"/>
    <n v="55"/>
    <n v="55"/>
    <n v="55"/>
    <n v="275"/>
    <n v="500"/>
    <n v="55.000000000000007"/>
    <n v="-44.999999999999993"/>
  </r>
  <r>
    <s v="EMP_003"/>
    <x v="2"/>
    <x v="2"/>
    <n v="66"/>
    <n v="66"/>
    <n v="66"/>
    <n v="66"/>
    <n v="65"/>
    <n v="329"/>
    <n v="500"/>
    <n v="65.8"/>
    <n v="-34.200000000000003"/>
  </r>
  <r>
    <s v="EMP_004"/>
    <x v="3"/>
    <x v="3"/>
    <n v="56"/>
    <n v="56"/>
    <n v="56"/>
    <n v="56"/>
    <n v="52"/>
    <n v="276"/>
    <n v="500"/>
    <n v="55.2"/>
    <n v="-44.8"/>
  </r>
  <r>
    <s v="EMP_005"/>
    <x v="4"/>
    <x v="4"/>
    <n v="63"/>
    <n v="63"/>
    <n v="63"/>
    <n v="63"/>
    <n v="65"/>
    <n v="317"/>
    <n v="500"/>
    <n v="63.4"/>
    <n v="-36.6"/>
  </r>
  <r>
    <s v="EMP_006"/>
    <x v="5"/>
    <x v="5"/>
    <n v="68"/>
    <n v="68"/>
    <n v="68"/>
    <n v="68"/>
    <n v="68"/>
    <n v="340"/>
    <n v="500"/>
    <n v="68"/>
    <n v="-32"/>
  </r>
  <r>
    <s v="EMP_007"/>
    <x v="6"/>
    <x v="6"/>
    <n v="89"/>
    <n v="89"/>
    <n v="89"/>
    <n v="89"/>
    <n v="89"/>
    <n v="445"/>
    <n v="500"/>
    <n v="89"/>
    <n v="-11"/>
  </r>
  <r>
    <s v="EMP_008"/>
    <x v="7"/>
    <x v="7"/>
    <n v="68"/>
    <n v="68"/>
    <n v="68"/>
    <n v="68"/>
    <n v="68"/>
    <n v="340"/>
    <n v="500"/>
    <n v="68"/>
    <n v="-32"/>
  </r>
  <r>
    <s v="EMP_009"/>
    <x v="8"/>
    <x v="8"/>
    <n v="85"/>
    <n v="85"/>
    <n v="85"/>
    <n v="85"/>
    <n v="85"/>
    <n v="425"/>
    <n v="500"/>
    <n v="85"/>
    <n v="-15"/>
  </r>
  <r>
    <s v="EMP_010"/>
    <x v="9"/>
    <x v="9"/>
    <n v="88"/>
    <n v="58"/>
    <n v="58"/>
    <n v="58"/>
    <n v="58"/>
    <n v="320"/>
    <n v="500"/>
    <n v="64"/>
    <n v="-36"/>
  </r>
  <r>
    <s v="EMP_011"/>
    <x v="10"/>
    <x v="10"/>
    <n v="88"/>
    <n v="77"/>
    <n v="88"/>
    <n v="98"/>
    <n v="66"/>
    <n v="417"/>
    <n v="500"/>
    <n v="83.399999999999991"/>
    <n v="-16.600000000000009"/>
  </r>
  <r>
    <s v="EMP_012"/>
    <x v="11"/>
    <x v="11"/>
    <n v="34"/>
    <n v="76"/>
    <n v="90"/>
    <n v="65"/>
    <n v="55"/>
    <n v="320"/>
    <n v="500"/>
    <n v="64"/>
    <n v="-36"/>
  </r>
  <r>
    <s v="EMP_013"/>
    <x v="12"/>
    <x v="12"/>
    <n v="54"/>
    <n v="54"/>
    <n v="54"/>
    <n v="54"/>
    <n v="54"/>
    <n v="270"/>
    <n v="500"/>
    <n v="54"/>
    <n v="-46"/>
  </r>
  <r>
    <s v="EMP_014"/>
    <x v="13"/>
    <x v="13"/>
    <n v="58"/>
    <n v="58"/>
    <n v="58"/>
    <n v="58"/>
    <n v="58"/>
    <n v="290"/>
    <n v="500"/>
    <n v="57.999999999999993"/>
    <n v="-42.000000000000007"/>
  </r>
  <r>
    <s v="EMP_015"/>
    <x v="14"/>
    <x v="14"/>
    <n v="59"/>
    <n v="59"/>
    <n v="59"/>
    <n v="59"/>
    <n v="59"/>
    <n v="295"/>
    <n v="500"/>
    <n v="59"/>
    <n v="-41"/>
  </r>
  <r>
    <s v="EMP_016"/>
    <x v="15"/>
    <x v="15"/>
    <n v="58"/>
    <n v="58"/>
    <n v="58"/>
    <n v="58"/>
    <n v="58"/>
    <n v="290"/>
    <n v="500"/>
    <n v="57.999999999999993"/>
    <n v="-42.000000000000007"/>
  </r>
  <r>
    <s v="EMP_017"/>
    <x v="9"/>
    <x v="16"/>
    <n v="65"/>
    <n v="65"/>
    <n v="65"/>
    <n v="65"/>
    <n v="65"/>
    <n v="325"/>
    <n v="500"/>
    <n v="65"/>
    <n v="-35"/>
  </r>
  <r>
    <s v="EMP_018"/>
    <x v="16"/>
    <x v="17"/>
    <n v="65"/>
    <n v="65"/>
    <n v="65"/>
    <n v="65"/>
    <n v="65"/>
    <n v="325"/>
    <n v="500"/>
    <n v="65"/>
    <n v="-35"/>
  </r>
  <r>
    <s v="EMP_019"/>
    <x v="17"/>
    <x v="18"/>
    <n v="49"/>
    <n v="49"/>
    <n v="49"/>
    <n v="49"/>
    <n v="49"/>
    <n v="245"/>
    <n v="500"/>
    <n v="49"/>
    <n v="-51"/>
  </r>
  <r>
    <s v="EMP_020"/>
    <x v="18"/>
    <x v="19"/>
    <n v="69"/>
    <n v="69"/>
    <n v="69"/>
    <n v="69"/>
    <n v="69"/>
    <n v="345"/>
    <n v="500"/>
    <n v="69"/>
    <n v="-31"/>
  </r>
  <r>
    <s v="EMP_021"/>
    <x v="19"/>
    <x v="20"/>
    <n v="59"/>
    <n v="59"/>
    <n v="59"/>
    <n v="59"/>
    <n v="59"/>
    <n v="295"/>
    <n v="500"/>
    <n v="59"/>
    <n v="-41"/>
  </r>
  <r>
    <s v="EMP_022"/>
    <x v="20"/>
    <x v="21"/>
    <n v="68"/>
    <n v="68"/>
    <n v="68"/>
    <n v="68"/>
    <n v="68"/>
    <n v="340"/>
    <n v="500"/>
    <n v="68"/>
    <n v="-32"/>
  </r>
  <r>
    <s v="EMP_023"/>
    <x v="21"/>
    <x v="22"/>
    <n v="95"/>
    <n v="95"/>
    <n v="95"/>
    <n v="95"/>
    <n v="95"/>
    <n v="475"/>
    <n v="500"/>
    <n v="95"/>
    <n v="-5"/>
  </r>
  <r>
    <s v="EMP_024"/>
    <x v="22"/>
    <x v="23"/>
    <n v="35"/>
    <n v="35"/>
    <n v="35"/>
    <n v="35"/>
    <n v="35"/>
    <n v="175"/>
    <n v="500"/>
    <n v="35"/>
    <n v="-65"/>
  </r>
  <r>
    <s v="EMP_025"/>
    <x v="23"/>
    <x v="24"/>
    <n v="29"/>
    <n v="29"/>
    <n v="29"/>
    <n v="29"/>
    <n v="29"/>
    <n v="145"/>
    <n v="500"/>
    <n v="28.999999999999996"/>
    <n v="-71"/>
  </r>
  <r>
    <s v="EMP_026"/>
    <x v="24"/>
    <x v="25"/>
    <n v="38"/>
    <n v="38"/>
    <n v="38"/>
    <n v="38"/>
    <n v="38"/>
    <n v="190"/>
    <n v="500"/>
    <n v="38"/>
    <n v="-62"/>
  </r>
  <r>
    <s v="EMP_027"/>
    <x v="25"/>
    <x v="26"/>
    <n v="59"/>
    <n v="59"/>
    <n v="59"/>
    <n v="59"/>
    <n v="59"/>
    <n v="295"/>
    <n v="500"/>
    <n v="59"/>
    <n v="-41"/>
  </r>
  <r>
    <s v="EMP_028"/>
    <x v="26"/>
    <x v="27"/>
    <n v="57"/>
    <n v="57"/>
    <n v="57"/>
    <n v="57"/>
    <n v="57"/>
    <n v="285"/>
    <n v="500"/>
    <n v="56.999999999999993"/>
    <n v="-43.000000000000007"/>
  </r>
  <r>
    <s v="EMP_029"/>
    <x v="27"/>
    <x v="28"/>
    <n v="68"/>
    <n v="68"/>
    <n v="68"/>
    <n v="68"/>
    <n v="68"/>
    <n v="340"/>
    <n v="500"/>
    <n v="68"/>
    <n v="-32"/>
  </r>
  <r>
    <s v="EMP_030"/>
    <x v="28"/>
    <x v="29"/>
    <n v="59"/>
    <n v="59"/>
    <n v="59"/>
    <n v="59"/>
    <n v="59"/>
    <n v="295"/>
    <n v="500"/>
    <n v="59"/>
    <n v="-41"/>
  </r>
  <r>
    <s v="EMP_031"/>
    <x v="29"/>
    <x v="30"/>
    <n v="94"/>
    <n v="94"/>
    <n v="94"/>
    <n v="94"/>
    <n v="94"/>
    <n v="470"/>
    <n v="500"/>
    <n v="94"/>
    <n v="-6"/>
  </r>
  <r>
    <s v="EMP_032"/>
    <x v="30"/>
    <x v="31"/>
    <n v="93"/>
    <n v="93"/>
    <n v="93"/>
    <n v="93"/>
    <n v="93"/>
    <n v="465"/>
    <n v="500"/>
    <n v="93"/>
    <n v="-7"/>
  </r>
  <r>
    <s v="EMP_033"/>
    <x v="31"/>
    <x v="32"/>
    <n v="91"/>
    <n v="91"/>
    <n v="91"/>
    <n v="91"/>
    <n v="91"/>
    <n v="455"/>
    <n v="500"/>
    <n v="91"/>
    <n v="-9"/>
  </r>
  <r>
    <s v="EMP_034"/>
    <x v="32"/>
    <x v="33"/>
    <n v="81"/>
    <n v="81"/>
    <n v="81"/>
    <n v="81"/>
    <n v="81"/>
    <n v="405"/>
    <n v="500"/>
    <n v="81"/>
    <n v="-19"/>
  </r>
  <r>
    <s v="EMP_035"/>
    <x v="33"/>
    <x v="34"/>
    <n v="73"/>
    <n v="73"/>
    <n v="73"/>
    <n v="73"/>
    <n v="73"/>
    <n v="365"/>
    <n v="500"/>
    <n v="73"/>
    <n v="-27"/>
  </r>
  <r>
    <s v="EMP_036"/>
    <x v="34"/>
    <x v="35"/>
    <n v="87"/>
    <n v="87"/>
    <n v="87"/>
    <n v="87"/>
    <n v="87"/>
    <n v="435"/>
    <n v="500"/>
    <n v="87"/>
    <n v="-13"/>
  </r>
  <r>
    <s v="EMP_037"/>
    <x v="35"/>
    <x v="36"/>
    <n v="75"/>
    <n v="75"/>
    <n v="75"/>
    <n v="75"/>
    <n v="75"/>
    <n v="375"/>
    <n v="500"/>
    <n v="75"/>
    <n v="-25"/>
  </r>
  <r>
    <s v="EMP_038"/>
    <x v="36"/>
    <x v="37"/>
    <n v="56"/>
    <n v="56"/>
    <n v="56"/>
    <n v="56"/>
    <n v="56"/>
    <n v="280"/>
    <n v="500"/>
    <n v="56.000000000000007"/>
    <n v="-43.999999999999993"/>
  </r>
  <r>
    <s v="EMP_039"/>
    <x v="37"/>
    <x v="38"/>
    <n v="36"/>
    <n v="36"/>
    <n v="36"/>
    <n v="36"/>
    <n v="36"/>
    <n v="180"/>
    <n v="500"/>
    <n v="36"/>
    <n v="-64"/>
  </r>
  <r>
    <s v="EMP_040"/>
    <x v="38"/>
    <x v="39"/>
    <n v="54"/>
    <n v="54"/>
    <n v="54"/>
    <n v="54"/>
    <n v="54"/>
    <n v="270"/>
    <n v="500"/>
    <n v="54"/>
    <n v="-46"/>
  </r>
  <r>
    <s v="EMP_041"/>
    <x v="39"/>
    <x v="40"/>
    <n v="58"/>
    <n v="58"/>
    <n v="58"/>
    <n v="58"/>
    <n v="58"/>
    <n v="290"/>
    <n v="500"/>
    <n v="57.999999999999993"/>
    <n v="-42.000000000000007"/>
  </r>
  <r>
    <s v="EMP_042"/>
    <x v="40"/>
    <x v="41"/>
    <n v="69"/>
    <n v="69"/>
    <n v="69"/>
    <n v="69"/>
    <n v="69"/>
    <n v="345"/>
    <n v="500"/>
    <n v="69"/>
    <n v="-31"/>
  </r>
  <r>
    <s v="EMP_043"/>
    <x v="41"/>
    <x v="42"/>
    <n v="39"/>
    <n v="39"/>
    <n v="39"/>
    <n v="39"/>
    <n v="39"/>
    <n v="195"/>
    <n v="500"/>
    <n v="39"/>
    <n v="-61"/>
  </r>
  <r>
    <s v="EMP_044"/>
    <x v="42"/>
    <x v="43"/>
    <n v="78"/>
    <n v="78"/>
    <n v="78"/>
    <n v="78"/>
    <n v="78"/>
    <n v="390"/>
    <n v="500"/>
    <n v="78"/>
    <n v="-22"/>
  </r>
  <r>
    <s v="EMP_045"/>
    <x v="43"/>
    <x v="44"/>
    <n v="79"/>
    <n v="79"/>
    <n v="79"/>
    <n v="79"/>
    <n v="79"/>
    <n v="395"/>
    <n v="500"/>
    <n v="79"/>
    <n v="-21"/>
  </r>
  <r>
    <s v="EMP_046"/>
    <x v="44"/>
    <x v="45"/>
    <n v="67"/>
    <n v="67"/>
    <n v="67"/>
    <n v="67"/>
    <n v="67"/>
    <n v="335"/>
    <n v="500"/>
    <n v="67"/>
    <n v="-33"/>
  </r>
  <r>
    <s v="EMP_047"/>
    <x v="45"/>
    <x v="46"/>
    <n v="88"/>
    <n v="88"/>
    <n v="88"/>
    <n v="88"/>
    <n v="88"/>
    <n v="440"/>
    <n v="500"/>
    <n v="88"/>
    <n v="-12"/>
  </r>
  <r>
    <s v="EMP_048"/>
    <x v="46"/>
    <x v="47"/>
    <n v="80"/>
    <n v="80"/>
    <n v="80"/>
    <n v="80"/>
    <n v="80"/>
    <n v="400"/>
    <n v="500"/>
    <n v="80"/>
    <n v="-20"/>
  </r>
  <r>
    <s v="EMP_049"/>
    <x v="47"/>
    <x v="48"/>
    <n v="89"/>
    <n v="89"/>
    <n v="89"/>
    <n v="89"/>
    <n v="89"/>
    <n v="445"/>
    <n v="500"/>
    <n v="89"/>
    <n v="-1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4" cacheId="1" applyNumberFormats="0" applyBorderFormats="0" applyFontFormats="0" applyPatternFormats="0" applyAlignmentFormats="0" applyWidthHeightFormats="1" dataCaption="Values" updatedVersion="6" minRefreshableVersion="3" rowGrandTotals="0" colGrandTotals="0" itemPrintTitles="1" createdVersion="6" indent="0" outline="1" outlineData="1" multipleFieldFilters="0" chartFormat="1" rowHeaderCaption="SALES EXECUTIVE">
  <location ref="J5:K10" firstHeaderRow="1" firstDataRow="1" firstDataCol="1"/>
  <pivotFields count="12">
    <pivotField showAll="0"/>
    <pivotField axis="axisRow" showAll="0" measureFilter="1">
      <items count="49">
        <item x="36"/>
        <item x="17"/>
        <item x="15"/>
        <item x="1"/>
        <item x="9"/>
        <item x="37"/>
        <item x="23"/>
        <item x="45"/>
        <item x="4"/>
        <item x="22"/>
        <item x="8"/>
        <item x="34"/>
        <item x="31"/>
        <item x="35"/>
        <item x="16"/>
        <item x="12"/>
        <item x="47"/>
        <item x="38"/>
        <item x="11"/>
        <item x="18"/>
        <item x="20"/>
        <item x="33"/>
        <item x="21"/>
        <item x="32"/>
        <item x="14"/>
        <item x="41"/>
        <item x="28"/>
        <item x="40"/>
        <item x="29"/>
        <item x="7"/>
        <item x="24"/>
        <item x="44"/>
        <item x="42"/>
        <item x="0"/>
        <item x="19"/>
        <item x="2"/>
        <item x="39"/>
        <item x="13"/>
        <item x="6"/>
        <item x="5"/>
        <item x="46"/>
        <item x="43"/>
        <item x="3"/>
        <item x="30"/>
        <item x="27"/>
        <item x="10"/>
        <item x="26"/>
        <item x="2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1"/>
  </rowFields>
  <rowItems count="5">
    <i>
      <x v="4"/>
    </i>
    <i>
      <x v="5"/>
    </i>
    <i>
      <x v="6"/>
    </i>
    <i>
      <x v="9"/>
    </i>
    <i>
      <x v="30"/>
    </i>
  </rowItems>
  <colItems count="1">
    <i/>
  </colItems>
  <dataFields count="1">
    <dataField name="Sum of AWAY FROM TARGET %" fld="11" baseField="1" baseItem="0" numFmtId="9"/>
  </dataFields>
  <chartFormats count="1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20" showRowHeaders="1" showColHeaders="1" showRowStripes="0" showColStripes="0" showLastColumn="1"/>
  <filters count="1">
    <filter fld="1" type="count" evalOrder="-1" id="3" iMeasureFld="0">
      <autoFilter ref="A1">
        <filterColumn colId="0">
          <top10 top="0"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3" cacheId="1" applyNumberFormats="0" applyBorderFormats="0" applyFontFormats="0" applyPatternFormats="0" applyAlignmentFormats="0" applyWidthHeightFormats="1" dataCaption="Values" updatedVersion="6" minRefreshableVersion="3" rowGrandTotals="0" colGrandTotals="0" itemPrintTitles="1" createdVersion="6" indent="0" outline="1" outlineData="1" multipleFieldFilters="0" chartFormat="1" rowHeaderCaption="SALES EXECUTIVE">
  <location ref="G5:H10" firstHeaderRow="1" firstDataRow="1" firstDataCol="1"/>
  <pivotFields count="12">
    <pivotField showAll="0"/>
    <pivotField axis="axisRow" showAll="0" measureFilter="1">
      <items count="49">
        <item x="36"/>
        <item x="17"/>
        <item x="15"/>
        <item x="1"/>
        <item x="9"/>
        <item x="37"/>
        <item x="23"/>
        <item x="45"/>
        <item x="4"/>
        <item x="22"/>
        <item x="8"/>
        <item x="34"/>
        <item x="31"/>
        <item x="35"/>
        <item x="16"/>
        <item x="12"/>
        <item x="47"/>
        <item x="38"/>
        <item x="11"/>
        <item x="18"/>
        <item x="20"/>
        <item x="33"/>
        <item x="21"/>
        <item x="32"/>
        <item x="14"/>
        <item x="41"/>
        <item x="28"/>
        <item x="40"/>
        <item x="29"/>
        <item x="7"/>
        <item x="24"/>
        <item x="44"/>
        <item x="42"/>
        <item x="0"/>
        <item x="19"/>
        <item x="2"/>
        <item x="39"/>
        <item x="13"/>
        <item x="6"/>
        <item x="5"/>
        <item x="46"/>
        <item x="43"/>
        <item x="3"/>
        <item x="30"/>
        <item x="27"/>
        <item x="10"/>
        <item x="26"/>
        <item x="2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</pivotFields>
  <rowFields count="1">
    <field x="1"/>
  </rowFields>
  <rowItems count="5">
    <i>
      <x v="4"/>
    </i>
    <i>
      <x v="12"/>
    </i>
    <i>
      <x v="22"/>
    </i>
    <i>
      <x v="28"/>
    </i>
    <i>
      <x v="43"/>
    </i>
  </rowItems>
  <colItems count="1">
    <i/>
  </colItems>
  <dataFields count="1">
    <dataField name="TARGET HIT % WISE" fld="10" baseField="1" baseItem="9" numFmtId="9"/>
  </dataFields>
  <chartFormats count="6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1" count="1" selected="0">
            <x v="1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1" count="1" selected="0">
            <x v="22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1" count="1" selected="0">
            <x v="28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1" count="1" selected="0">
            <x v="43"/>
          </reference>
        </references>
      </pivotArea>
    </chartFormat>
  </chartFormats>
  <pivotTableStyleInfo name="PivotStyleMedium21" showRowHeaders="1" showColHeaders="1" showRowStripes="0" showColStripes="0" showLastColumn="1"/>
  <filters count="1">
    <filter fld="1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2" cacheId="1" applyNumberFormats="0" applyBorderFormats="0" applyFontFormats="0" applyPatternFormats="0" applyAlignmentFormats="0" applyWidthHeightFormats="1" dataCaption="Values" updatedVersion="6" minRefreshableVersion="3" itemPrintTitles="1" createdVersion="6" indent="0" outline="1" outlineData="1" multipleFieldFilters="0" rowHeaderCaption="SALES EXECUTIVE">
  <location ref="D5:E11" firstHeaderRow="1" firstDataRow="1" firstDataCol="1"/>
  <pivotFields count="12">
    <pivotField showAll="0"/>
    <pivotField axis="axisRow" showAll="0" measureFilter="1">
      <items count="49">
        <item x="36"/>
        <item x="17"/>
        <item x="15"/>
        <item x="1"/>
        <item x="9"/>
        <item x="37"/>
        <item x="23"/>
        <item x="45"/>
        <item x="4"/>
        <item x="22"/>
        <item x="8"/>
        <item x="34"/>
        <item x="31"/>
        <item x="35"/>
        <item x="16"/>
        <item x="12"/>
        <item x="47"/>
        <item x="38"/>
        <item x="11"/>
        <item x="18"/>
        <item x="20"/>
        <item x="33"/>
        <item x="21"/>
        <item x="32"/>
        <item x="14"/>
        <item x="41"/>
        <item x="28"/>
        <item x="40"/>
        <item x="29"/>
        <item x="7"/>
        <item x="24"/>
        <item x="44"/>
        <item x="42"/>
        <item x="0"/>
        <item x="19"/>
        <item x="2"/>
        <item x="39"/>
        <item x="13"/>
        <item x="6"/>
        <item x="5"/>
        <item x="46"/>
        <item x="43"/>
        <item x="3"/>
        <item x="30"/>
        <item x="27"/>
        <item x="10"/>
        <item x="26"/>
        <item x="25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1"/>
  </rowFields>
  <rowItems count="6">
    <i>
      <x v="5"/>
    </i>
    <i>
      <x v="6"/>
    </i>
    <i>
      <x v="9"/>
    </i>
    <i>
      <x v="25"/>
    </i>
    <i>
      <x v="30"/>
    </i>
    <i t="grand">
      <x/>
    </i>
  </rowItems>
  <colItems count="1">
    <i/>
  </colItems>
  <dataFields count="1">
    <dataField name="TOTAL SALES " fld="8" baseField="1" baseItem="4"/>
  </dataFields>
  <pivotTableStyleInfo name="PivotStyleMedium19" showRowHeaders="1" showColHeaders="1" showRowStripes="0" showColStripes="0" showLastColumn="1"/>
  <filters count="1">
    <filter fld="1" type="count" evalOrder="-1" id="4" iMeasureFld="0">
      <autoFilter ref="A1">
        <filterColumn colId="0">
          <top10 top="0"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1" cacheId="1" applyNumberFormats="0" applyBorderFormats="0" applyFontFormats="0" applyPatternFormats="0" applyAlignmentFormats="0" applyWidthHeightFormats="1" dataCaption="Values" updatedVersion="6" minRefreshableVersion="3" itemPrintTitles="1" createdVersion="6" indent="0" outline="1" outlineData="1" multipleFieldFilters="0" chartFormat="1" rowHeaderCaption="SALES EXECUTIVE">
  <location ref="A5:B11" firstHeaderRow="1" firstDataRow="1" firstDataCol="1"/>
  <pivotFields count="12">
    <pivotField showAll="0"/>
    <pivotField axis="axisRow" showAll="0" measureFilter="1">
      <items count="49">
        <item x="36"/>
        <item x="17"/>
        <item x="15"/>
        <item x="1"/>
        <item x="9"/>
        <item x="37"/>
        <item x="23"/>
        <item x="45"/>
        <item x="4"/>
        <item x="22"/>
        <item x="8"/>
        <item x="34"/>
        <item x="31"/>
        <item x="35"/>
        <item x="16"/>
        <item x="12"/>
        <item x="47"/>
        <item x="38"/>
        <item x="11"/>
        <item x="18"/>
        <item x="20"/>
        <item x="33"/>
        <item x="21"/>
        <item x="32"/>
        <item x="14"/>
        <item x="41"/>
        <item x="28"/>
        <item x="40"/>
        <item x="29"/>
        <item x="7"/>
        <item x="24"/>
        <item x="44"/>
        <item x="42"/>
        <item x="0"/>
        <item x="19"/>
        <item x="2"/>
        <item x="39"/>
        <item x="13"/>
        <item x="6"/>
        <item x="5"/>
        <item x="46"/>
        <item x="43"/>
        <item x="3"/>
        <item x="30"/>
        <item x="27"/>
        <item x="10"/>
        <item x="26"/>
        <item x="25"/>
        <item t="default"/>
      </items>
    </pivotField>
    <pivotField showAll="0">
      <items count="50">
        <item h="1" x="12"/>
        <item x="37"/>
        <item h="1" x="22"/>
        <item h="1" x="5"/>
        <item h="1" x="42"/>
        <item h="1" x="3"/>
        <item h="1" x="17"/>
        <item h="1" x="43"/>
        <item h="1" x="6"/>
        <item h="1" x="21"/>
        <item h="1" x="13"/>
        <item h="1" x="41"/>
        <item h="1" x="8"/>
        <item h="1" x="20"/>
        <item h="1" x="4"/>
        <item h="1" x="26"/>
        <item h="1" x="48"/>
        <item h="1" x="46"/>
        <item h="1" x="16"/>
        <item h="1" x="25"/>
        <item h="1" x="2"/>
        <item h="1" x="40"/>
        <item h="1" x="24"/>
        <item h="1" x="36"/>
        <item h="1" x="44"/>
        <item h="1" x="28"/>
        <item h="1" x="39"/>
        <item h="1" x="38"/>
        <item h="1" x="0"/>
        <item h="1" x="19"/>
        <item h="1" x="11"/>
        <item h="1" x="32"/>
        <item h="1" x="9"/>
        <item h="1" x="10"/>
        <item h="1" x="33"/>
        <item h="1" x="35"/>
        <item h="1" x="18"/>
        <item h="1" x="14"/>
        <item h="1" x="1"/>
        <item h="1" x="27"/>
        <item h="1" x="7"/>
        <item h="1" x="30"/>
        <item h="1" x="31"/>
        <item h="1" x="45"/>
        <item h="1" x="23"/>
        <item h="1" x="34"/>
        <item h="1" x="15"/>
        <item h="1" x="29"/>
        <item h="1" x="47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1"/>
  </rowFields>
  <rowItems count="6">
    <i>
      <x v="4"/>
    </i>
    <i>
      <x v="12"/>
    </i>
    <i>
      <x v="22"/>
    </i>
    <i>
      <x v="28"/>
    </i>
    <i>
      <x v="43"/>
    </i>
    <i t="grand">
      <x/>
    </i>
  </rowItems>
  <colItems count="1">
    <i/>
  </colItems>
  <dataFields count="1">
    <dataField name="TOTAL SALES " fld="8" baseField="1" baseItem="4"/>
  </dataFields>
  <chartFormats count="1">
    <chartFormat chart="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21" showRowHeaders="1" showColHeaders="1" showRowStripes="0" showColStripes="0" showLastColumn="1"/>
  <filters count="1">
    <filter fld="1" type="count" evalOrder="-1" id="3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drawing" Target="../drawings/drawing1.xml"/><Relationship Id="rId5" Type="http://schemas.openxmlformats.org/officeDocument/2006/relationships/printerSettings" Target="../printerSettings/printerSettings1.bin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1"/>
  <sheetViews>
    <sheetView showGridLines="0" showRowColHeaders="0" tabSelected="1" workbookViewId="0">
      <selection activeCell="A2" sqref="A2"/>
    </sheetView>
  </sheetViews>
  <sheetFormatPr defaultRowHeight="15" x14ac:dyDescent="0.25"/>
  <cols>
    <col min="1" max="1" width="18.5703125" customWidth="1"/>
    <col min="2" max="2" width="12.5703125" customWidth="1"/>
    <col min="3" max="3" width="2.140625" customWidth="1"/>
    <col min="4" max="4" width="19.140625" customWidth="1"/>
    <col min="5" max="5" width="12.5703125" customWidth="1"/>
    <col min="6" max="6" width="2.42578125" customWidth="1"/>
    <col min="7" max="7" width="18.28515625" customWidth="1"/>
    <col min="8" max="8" width="18.42578125" customWidth="1"/>
    <col min="9" max="9" width="2" customWidth="1"/>
    <col min="10" max="10" width="19.140625" customWidth="1"/>
    <col min="11" max="11" width="29" customWidth="1"/>
    <col min="12" max="12" width="31.85546875" customWidth="1"/>
  </cols>
  <sheetData>
    <row r="1" spans="1:11" ht="2.25" customHeight="1" x14ac:dyDescent="0.25"/>
    <row r="2" spans="1:11" s="8" customFormat="1" ht="25.5" customHeight="1" x14ac:dyDescent="0.25">
      <c r="A2" s="9"/>
      <c r="B2" s="9"/>
      <c r="C2" s="9"/>
      <c r="D2" s="9"/>
      <c r="E2" s="9"/>
      <c r="F2" s="9"/>
      <c r="G2" s="9"/>
      <c r="H2" s="9"/>
      <c r="I2" s="9"/>
      <c r="J2" s="9"/>
      <c r="K2" s="9"/>
    </row>
    <row r="3" spans="1:11" ht="2.25" customHeight="1" x14ac:dyDescent="0.25"/>
    <row r="4" spans="1:11" ht="2.25" customHeight="1" x14ac:dyDescent="0.25"/>
    <row r="5" spans="1:11" x14ac:dyDescent="0.25">
      <c r="A5" s="4" t="s">
        <v>1</v>
      </c>
      <c r="B5" t="s">
        <v>159</v>
      </c>
      <c r="D5" s="4" t="s">
        <v>1</v>
      </c>
      <c r="E5" t="s">
        <v>159</v>
      </c>
      <c r="G5" s="4" t="s">
        <v>1</v>
      </c>
      <c r="H5" t="s">
        <v>160</v>
      </c>
      <c r="J5" s="4" t="s">
        <v>1</v>
      </c>
      <c r="K5" t="s">
        <v>161</v>
      </c>
    </row>
    <row r="6" spans="1:11" x14ac:dyDescent="0.25">
      <c r="A6" s="5" t="s">
        <v>70</v>
      </c>
      <c r="B6" s="6">
        <v>645</v>
      </c>
      <c r="D6" s="5" t="s">
        <v>98</v>
      </c>
      <c r="E6" s="6">
        <v>180</v>
      </c>
      <c r="G6" s="5" t="s">
        <v>70</v>
      </c>
      <c r="H6" s="7">
        <v>129</v>
      </c>
      <c r="J6" s="5" t="s">
        <v>70</v>
      </c>
      <c r="K6" s="7">
        <v>-71</v>
      </c>
    </row>
    <row r="7" spans="1:11" x14ac:dyDescent="0.25">
      <c r="A7" s="5" t="s">
        <v>92</v>
      </c>
      <c r="B7" s="6">
        <v>455</v>
      </c>
      <c r="D7" s="5" t="s">
        <v>84</v>
      </c>
      <c r="E7" s="6">
        <v>145</v>
      </c>
      <c r="G7" s="5" t="s">
        <v>92</v>
      </c>
      <c r="H7" s="7">
        <v>91</v>
      </c>
      <c r="J7" s="5" t="s">
        <v>98</v>
      </c>
      <c r="K7" s="7">
        <v>-64</v>
      </c>
    </row>
    <row r="8" spans="1:11" x14ac:dyDescent="0.25">
      <c r="A8" s="5" t="s">
        <v>82</v>
      </c>
      <c r="B8" s="6">
        <v>475</v>
      </c>
      <c r="D8" s="5" t="s">
        <v>83</v>
      </c>
      <c r="E8" s="6">
        <v>175</v>
      </c>
      <c r="G8" s="5" t="s">
        <v>82</v>
      </c>
      <c r="H8" s="7">
        <v>95</v>
      </c>
      <c r="J8" s="5" t="s">
        <v>84</v>
      </c>
      <c r="K8" s="7">
        <v>-71</v>
      </c>
    </row>
    <row r="9" spans="1:11" x14ac:dyDescent="0.25">
      <c r="A9" s="5" t="s">
        <v>90</v>
      </c>
      <c r="B9" s="6">
        <v>470</v>
      </c>
      <c r="D9" s="5" t="s">
        <v>102</v>
      </c>
      <c r="E9" s="6">
        <v>195</v>
      </c>
      <c r="G9" s="5" t="s">
        <v>90</v>
      </c>
      <c r="H9" s="7">
        <v>94</v>
      </c>
      <c r="J9" s="5" t="s">
        <v>83</v>
      </c>
      <c r="K9" s="7">
        <v>-65</v>
      </c>
    </row>
    <row r="10" spans="1:11" x14ac:dyDescent="0.25">
      <c r="A10" s="5" t="s">
        <v>91</v>
      </c>
      <c r="B10" s="6">
        <v>465</v>
      </c>
      <c r="D10" s="5" t="s">
        <v>85</v>
      </c>
      <c r="E10" s="6">
        <v>190</v>
      </c>
      <c r="G10" s="5" t="s">
        <v>91</v>
      </c>
      <c r="H10" s="7">
        <v>93</v>
      </c>
      <c r="J10" s="5" t="s">
        <v>85</v>
      </c>
      <c r="K10" s="7">
        <v>-62</v>
      </c>
    </row>
    <row r="11" spans="1:11" x14ac:dyDescent="0.25">
      <c r="A11" s="5" t="s">
        <v>158</v>
      </c>
      <c r="B11" s="6">
        <v>2510</v>
      </c>
      <c r="D11" s="5" t="s">
        <v>158</v>
      </c>
      <c r="E11" s="6">
        <v>885</v>
      </c>
    </row>
  </sheetData>
  <pageMargins left="0.7" right="0.7" top="0.75" bottom="0.75" header="0.3" footer="0.3"/>
  <pageSetup orientation="portrait" r:id="rId5"/>
  <drawing r:id="rId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0"/>
  <sheetViews>
    <sheetView workbookViewId="0">
      <selection sqref="A1:L50"/>
    </sheetView>
  </sheetViews>
  <sheetFormatPr defaultRowHeight="15" x14ac:dyDescent="0.25"/>
  <cols>
    <col min="1" max="1" width="10.140625" bestFit="1" customWidth="1"/>
    <col min="2" max="2" width="16.28515625" customWidth="1"/>
    <col min="3" max="3" width="17.85546875" customWidth="1"/>
    <col min="9" max="9" width="10.85546875" customWidth="1"/>
    <col min="10" max="11" width="12.7109375" customWidth="1"/>
    <col min="12" max="12" width="21.85546875" customWidth="1"/>
  </cols>
  <sheetData>
    <row r="1" spans="1:12" s="3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x14ac:dyDescent="0.25">
      <c r="A2" s="1" t="s">
        <v>12</v>
      </c>
      <c r="B2" s="1" t="s">
        <v>61</v>
      </c>
      <c r="C2" s="1" t="s">
        <v>122</v>
      </c>
      <c r="D2" s="1">
        <v>80</v>
      </c>
      <c r="E2" s="1">
        <v>88</v>
      </c>
      <c r="F2" s="1">
        <v>78</v>
      </c>
      <c r="G2" s="1">
        <v>79</v>
      </c>
      <c r="H2" s="1">
        <v>58</v>
      </c>
      <c r="I2" s="1">
        <f>SUM(D2,E2,F2,G2,H2)</f>
        <v>383</v>
      </c>
      <c r="J2" s="1">
        <v>500</v>
      </c>
      <c r="K2" s="1">
        <f>I2/J2*100</f>
        <v>76.599999999999994</v>
      </c>
      <c r="L2" s="1">
        <f>K2-100</f>
        <v>-23.400000000000006</v>
      </c>
    </row>
    <row r="3" spans="1:12" x14ac:dyDescent="0.25">
      <c r="A3" s="1" t="s">
        <v>13</v>
      </c>
      <c r="B3" s="1" t="s">
        <v>62</v>
      </c>
      <c r="C3" s="1" t="s">
        <v>110</v>
      </c>
      <c r="D3" s="1">
        <v>55</v>
      </c>
      <c r="E3" s="1">
        <v>55</v>
      </c>
      <c r="F3" s="1">
        <v>55</v>
      </c>
      <c r="G3" s="1">
        <v>55</v>
      </c>
      <c r="H3" s="1">
        <v>55</v>
      </c>
      <c r="I3" s="1">
        <f t="shared" ref="I3:I50" si="0">SUM(D3,E3,F3,G3,H3)</f>
        <v>275</v>
      </c>
      <c r="J3" s="1">
        <v>500</v>
      </c>
      <c r="K3" s="1">
        <f t="shared" ref="K3:K50" si="1">I3/J3*100</f>
        <v>55.000000000000007</v>
      </c>
      <c r="L3" s="1">
        <f>K3-100</f>
        <v>-44.999999999999993</v>
      </c>
    </row>
    <row r="4" spans="1:12" x14ac:dyDescent="0.25">
      <c r="A4" s="1" t="s">
        <v>14</v>
      </c>
      <c r="B4" s="1" t="s">
        <v>63</v>
      </c>
      <c r="C4" s="1" t="s">
        <v>111</v>
      </c>
      <c r="D4" s="1">
        <v>66</v>
      </c>
      <c r="E4" s="1">
        <v>66</v>
      </c>
      <c r="F4" s="1">
        <v>66</v>
      </c>
      <c r="G4" s="1">
        <v>66</v>
      </c>
      <c r="H4" s="1">
        <v>65</v>
      </c>
      <c r="I4" s="1">
        <f t="shared" si="0"/>
        <v>329</v>
      </c>
      <c r="J4" s="1">
        <v>500</v>
      </c>
      <c r="K4" s="1">
        <f t="shared" si="1"/>
        <v>65.8</v>
      </c>
      <c r="L4" s="1">
        <f t="shared" ref="L4:L50" si="2">K4-100</f>
        <v>-34.200000000000003</v>
      </c>
    </row>
    <row r="5" spans="1:12" x14ac:dyDescent="0.25">
      <c r="A5" s="1" t="s">
        <v>15</v>
      </c>
      <c r="B5" s="1" t="s">
        <v>64</v>
      </c>
      <c r="C5" s="1" t="s">
        <v>112</v>
      </c>
      <c r="D5" s="1">
        <v>56</v>
      </c>
      <c r="E5" s="1">
        <v>56</v>
      </c>
      <c r="F5" s="1">
        <v>56</v>
      </c>
      <c r="G5" s="1">
        <v>56</v>
      </c>
      <c r="H5" s="1">
        <v>52</v>
      </c>
      <c r="I5" s="1">
        <f t="shared" si="0"/>
        <v>276</v>
      </c>
      <c r="J5" s="1">
        <v>500</v>
      </c>
      <c r="K5" s="1">
        <f t="shared" si="1"/>
        <v>55.2</v>
      </c>
      <c r="L5" s="1">
        <f t="shared" si="2"/>
        <v>-44.8</v>
      </c>
    </row>
    <row r="6" spans="1:12" x14ac:dyDescent="0.25">
      <c r="A6" s="1" t="s">
        <v>16</v>
      </c>
      <c r="B6" s="1" t="s">
        <v>65</v>
      </c>
      <c r="C6" s="1" t="s">
        <v>113</v>
      </c>
      <c r="D6" s="1">
        <v>63</v>
      </c>
      <c r="E6" s="1">
        <v>63</v>
      </c>
      <c r="F6" s="1">
        <v>63</v>
      </c>
      <c r="G6" s="1">
        <v>63</v>
      </c>
      <c r="H6" s="1">
        <v>65</v>
      </c>
      <c r="I6" s="1">
        <f t="shared" si="0"/>
        <v>317</v>
      </c>
      <c r="J6" s="1">
        <v>500</v>
      </c>
      <c r="K6" s="1">
        <f t="shared" si="1"/>
        <v>63.4</v>
      </c>
      <c r="L6" s="1">
        <f t="shared" si="2"/>
        <v>-36.6</v>
      </c>
    </row>
    <row r="7" spans="1:12" x14ac:dyDescent="0.25">
      <c r="A7" s="1" t="s">
        <v>17</v>
      </c>
      <c r="B7" s="1" t="s">
        <v>66</v>
      </c>
      <c r="C7" s="1" t="s">
        <v>114</v>
      </c>
      <c r="D7" s="1">
        <v>68</v>
      </c>
      <c r="E7" s="1">
        <v>68</v>
      </c>
      <c r="F7" s="1">
        <v>68</v>
      </c>
      <c r="G7" s="1">
        <v>68</v>
      </c>
      <c r="H7" s="1">
        <v>68</v>
      </c>
      <c r="I7" s="1">
        <f t="shared" si="0"/>
        <v>340</v>
      </c>
      <c r="J7" s="1">
        <v>500</v>
      </c>
      <c r="K7" s="1">
        <f t="shared" si="1"/>
        <v>68</v>
      </c>
      <c r="L7" s="1">
        <f t="shared" si="2"/>
        <v>-32</v>
      </c>
    </row>
    <row r="8" spans="1:12" x14ac:dyDescent="0.25">
      <c r="A8" s="1" t="s">
        <v>18</v>
      </c>
      <c r="B8" s="1" t="s">
        <v>67</v>
      </c>
      <c r="C8" s="1" t="s">
        <v>115</v>
      </c>
      <c r="D8" s="1">
        <v>89</v>
      </c>
      <c r="E8" s="1">
        <v>89</v>
      </c>
      <c r="F8" s="1">
        <v>89</v>
      </c>
      <c r="G8" s="1">
        <v>89</v>
      </c>
      <c r="H8" s="1">
        <v>89</v>
      </c>
      <c r="I8" s="1">
        <f t="shared" si="0"/>
        <v>445</v>
      </c>
      <c r="J8" s="1">
        <v>500</v>
      </c>
      <c r="K8" s="1">
        <f t="shared" si="1"/>
        <v>89</v>
      </c>
      <c r="L8" s="1">
        <f t="shared" si="2"/>
        <v>-11</v>
      </c>
    </row>
    <row r="9" spans="1:12" x14ac:dyDescent="0.25">
      <c r="A9" s="1" t="s">
        <v>19</v>
      </c>
      <c r="B9" s="1" t="s">
        <v>68</v>
      </c>
      <c r="C9" s="1" t="s">
        <v>116</v>
      </c>
      <c r="D9" s="1">
        <v>68</v>
      </c>
      <c r="E9" s="1">
        <v>68</v>
      </c>
      <c r="F9" s="1">
        <v>68</v>
      </c>
      <c r="G9" s="1">
        <v>68</v>
      </c>
      <c r="H9" s="1">
        <v>68</v>
      </c>
      <c r="I9" s="1">
        <f t="shared" si="0"/>
        <v>340</v>
      </c>
      <c r="J9" s="1">
        <v>500</v>
      </c>
      <c r="K9" s="1">
        <f t="shared" si="1"/>
        <v>68</v>
      </c>
      <c r="L9" s="1">
        <f t="shared" si="2"/>
        <v>-32</v>
      </c>
    </row>
    <row r="10" spans="1:12" x14ac:dyDescent="0.25">
      <c r="A10" s="1" t="s">
        <v>20</v>
      </c>
      <c r="B10" s="1" t="s">
        <v>69</v>
      </c>
      <c r="C10" s="1" t="s">
        <v>117</v>
      </c>
      <c r="D10" s="1">
        <v>85</v>
      </c>
      <c r="E10" s="1">
        <v>85</v>
      </c>
      <c r="F10" s="1">
        <v>85</v>
      </c>
      <c r="G10" s="1">
        <v>85</v>
      </c>
      <c r="H10" s="1">
        <v>85</v>
      </c>
      <c r="I10" s="1">
        <f t="shared" si="0"/>
        <v>425</v>
      </c>
      <c r="J10" s="1">
        <v>500</v>
      </c>
      <c r="K10" s="1">
        <f t="shared" si="1"/>
        <v>85</v>
      </c>
      <c r="L10" s="1">
        <f t="shared" si="2"/>
        <v>-15</v>
      </c>
    </row>
    <row r="11" spans="1:12" x14ac:dyDescent="0.25">
      <c r="A11" s="1" t="s">
        <v>21</v>
      </c>
      <c r="B11" s="1" t="s">
        <v>70</v>
      </c>
      <c r="C11" s="1" t="s">
        <v>109</v>
      </c>
      <c r="D11" s="1">
        <v>88</v>
      </c>
      <c r="E11" s="1">
        <v>58</v>
      </c>
      <c r="F11" s="1">
        <v>58</v>
      </c>
      <c r="G11" s="1">
        <v>58</v>
      </c>
      <c r="H11" s="1">
        <v>58</v>
      </c>
      <c r="I11" s="1">
        <f t="shared" si="0"/>
        <v>320</v>
      </c>
      <c r="J11" s="1">
        <v>500</v>
      </c>
      <c r="K11" s="1">
        <f t="shared" si="1"/>
        <v>64</v>
      </c>
      <c r="L11" s="1">
        <f t="shared" si="2"/>
        <v>-36</v>
      </c>
    </row>
    <row r="12" spans="1:12" x14ac:dyDescent="0.25">
      <c r="A12" s="1" t="s">
        <v>22</v>
      </c>
      <c r="B12" s="1" t="s">
        <v>71</v>
      </c>
      <c r="C12" s="1" t="s">
        <v>118</v>
      </c>
      <c r="D12" s="1">
        <v>88</v>
      </c>
      <c r="E12" s="1">
        <v>77</v>
      </c>
      <c r="F12" s="1">
        <v>88</v>
      </c>
      <c r="G12" s="1">
        <v>98</v>
      </c>
      <c r="H12" s="1">
        <v>66</v>
      </c>
      <c r="I12" s="1">
        <f t="shared" si="0"/>
        <v>417</v>
      </c>
      <c r="J12" s="1">
        <v>500</v>
      </c>
      <c r="K12" s="1">
        <f t="shared" si="1"/>
        <v>83.399999999999991</v>
      </c>
      <c r="L12" s="1">
        <f t="shared" si="2"/>
        <v>-16.600000000000009</v>
      </c>
    </row>
    <row r="13" spans="1:12" x14ac:dyDescent="0.25">
      <c r="A13" s="1" t="s">
        <v>23</v>
      </c>
      <c r="B13" s="1" t="s">
        <v>72</v>
      </c>
      <c r="C13" s="1" t="s">
        <v>119</v>
      </c>
      <c r="D13" s="1">
        <v>34</v>
      </c>
      <c r="E13" s="1">
        <v>76</v>
      </c>
      <c r="F13" s="1">
        <v>90</v>
      </c>
      <c r="G13" s="1">
        <v>65</v>
      </c>
      <c r="H13" s="1">
        <v>55</v>
      </c>
      <c r="I13" s="1">
        <f t="shared" si="0"/>
        <v>320</v>
      </c>
      <c r="J13" s="1">
        <v>500</v>
      </c>
      <c r="K13" s="1">
        <f t="shared" si="1"/>
        <v>64</v>
      </c>
      <c r="L13" s="1">
        <f t="shared" si="2"/>
        <v>-36</v>
      </c>
    </row>
    <row r="14" spans="1:12" x14ac:dyDescent="0.25">
      <c r="A14" s="1" t="s">
        <v>24</v>
      </c>
      <c r="B14" s="1" t="s">
        <v>73</v>
      </c>
      <c r="C14" s="1" t="s">
        <v>120</v>
      </c>
      <c r="D14" s="1">
        <v>54</v>
      </c>
      <c r="E14" s="1">
        <v>54</v>
      </c>
      <c r="F14" s="1">
        <v>54</v>
      </c>
      <c r="G14" s="1">
        <v>54</v>
      </c>
      <c r="H14" s="1">
        <v>54</v>
      </c>
      <c r="I14" s="1">
        <f t="shared" si="0"/>
        <v>270</v>
      </c>
      <c r="J14" s="1">
        <v>500</v>
      </c>
      <c r="K14" s="1">
        <f t="shared" si="1"/>
        <v>54</v>
      </c>
      <c r="L14" s="1">
        <f t="shared" si="2"/>
        <v>-46</v>
      </c>
    </row>
    <row r="15" spans="1:12" x14ac:dyDescent="0.25">
      <c r="A15" s="1" t="s">
        <v>25</v>
      </c>
      <c r="B15" s="1" t="s">
        <v>74</v>
      </c>
      <c r="C15" s="1" t="s">
        <v>121</v>
      </c>
      <c r="D15" s="1">
        <v>58</v>
      </c>
      <c r="E15" s="1">
        <v>58</v>
      </c>
      <c r="F15" s="1">
        <v>58</v>
      </c>
      <c r="G15" s="1">
        <v>58</v>
      </c>
      <c r="H15" s="1">
        <v>58</v>
      </c>
      <c r="I15" s="1">
        <f t="shared" si="0"/>
        <v>290</v>
      </c>
      <c r="J15" s="1">
        <v>500</v>
      </c>
      <c r="K15" s="1">
        <f t="shared" si="1"/>
        <v>57.999999999999993</v>
      </c>
      <c r="L15" s="1">
        <f t="shared" si="2"/>
        <v>-42.000000000000007</v>
      </c>
    </row>
    <row r="16" spans="1:12" x14ac:dyDescent="0.25">
      <c r="A16" s="1" t="s">
        <v>26</v>
      </c>
      <c r="B16" s="1" t="s">
        <v>75</v>
      </c>
      <c r="C16" s="1" t="s">
        <v>123</v>
      </c>
      <c r="D16" s="1">
        <v>59</v>
      </c>
      <c r="E16" s="1">
        <v>59</v>
      </c>
      <c r="F16" s="1">
        <v>59</v>
      </c>
      <c r="G16" s="1">
        <v>59</v>
      </c>
      <c r="H16" s="1">
        <v>59</v>
      </c>
      <c r="I16" s="1">
        <f t="shared" si="0"/>
        <v>295</v>
      </c>
      <c r="J16" s="1">
        <v>500</v>
      </c>
      <c r="K16" s="1">
        <f t="shared" si="1"/>
        <v>59</v>
      </c>
      <c r="L16" s="1">
        <f t="shared" si="2"/>
        <v>-41</v>
      </c>
    </row>
    <row r="17" spans="1:12" x14ac:dyDescent="0.25">
      <c r="A17" s="1" t="s">
        <v>27</v>
      </c>
      <c r="B17" s="1" t="s">
        <v>76</v>
      </c>
      <c r="C17" s="1" t="s">
        <v>124</v>
      </c>
      <c r="D17" s="1">
        <v>58</v>
      </c>
      <c r="E17" s="1">
        <v>58</v>
      </c>
      <c r="F17" s="1">
        <v>58</v>
      </c>
      <c r="G17" s="1">
        <v>58</v>
      </c>
      <c r="H17" s="1">
        <v>58</v>
      </c>
      <c r="I17" s="1">
        <f t="shared" si="0"/>
        <v>290</v>
      </c>
      <c r="J17" s="1">
        <v>500</v>
      </c>
      <c r="K17" s="1">
        <f t="shared" si="1"/>
        <v>57.999999999999993</v>
      </c>
      <c r="L17" s="1">
        <f t="shared" si="2"/>
        <v>-42.000000000000007</v>
      </c>
    </row>
    <row r="18" spans="1:12" x14ac:dyDescent="0.25">
      <c r="A18" s="1" t="s">
        <v>28</v>
      </c>
      <c r="B18" s="1" t="s">
        <v>70</v>
      </c>
      <c r="C18" s="1" t="s">
        <v>125</v>
      </c>
      <c r="D18" s="1">
        <v>65</v>
      </c>
      <c r="E18" s="1">
        <v>65</v>
      </c>
      <c r="F18" s="1">
        <v>65</v>
      </c>
      <c r="G18" s="1">
        <v>65</v>
      </c>
      <c r="H18" s="1">
        <v>65</v>
      </c>
      <c r="I18" s="1">
        <f t="shared" si="0"/>
        <v>325</v>
      </c>
      <c r="J18" s="1">
        <v>500</v>
      </c>
      <c r="K18" s="1">
        <f t="shared" si="1"/>
        <v>65</v>
      </c>
      <c r="L18" s="1">
        <f t="shared" si="2"/>
        <v>-35</v>
      </c>
    </row>
    <row r="19" spans="1:12" x14ac:dyDescent="0.25">
      <c r="A19" s="1" t="s">
        <v>29</v>
      </c>
      <c r="B19" s="1" t="s">
        <v>77</v>
      </c>
      <c r="C19" s="1" t="s">
        <v>126</v>
      </c>
      <c r="D19" s="1">
        <v>65</v>
      </c>
      <c r="E19" s="1">
        <v>65</v>
      </c>
      <c r="F19" s="1">
        <v>65</v>
      </c>
      <c r="G19" s="1">
        <v>65</v>
      </c>
      <c r="H19" s="1">
        <v>65</v>
      </c>
      <c r="I19" s="1">
        <f t="shared" si="0"/>
        <v>325</v>
      </c>
      <c r="J19" s="1">
        <v>500</v>
      </c>
      <c r="K19" s="1">
        <f t="shared" si="1"/>
        <v>65</v>
      </c>
      <c r="L19" s="1">
        <f t="shared" si="2"/>
        <v>-35</v>
      </c>
    </row>
    <row r="20" spans="1:12" x14ac:dyDescent="0.25">
      <c r="A20" s="1" t="s">
        <v>30</v>
      </c>
      <c r="B20" s="1" t="s">
        <v>78</v>
      </c>
      <c r="C20" s="1" t="s">
        <v>127</v>
      </c>
      <c r="D20" s="1">
        <v>49</v>
      </c>
      <c r="E20" s="1">
        <v>49</v>
      </c>
      <c r="F20" s="1">
        <v>49</v>
      </c>
      <c r="G20" s="1">
        <v>49</v>
      </c>
      <c r="H20" s="1">
        <v>49</v>
      </c>
      <c r="I20" s="1">
        <f t="shared" si="0"/>
        <v>245</v>
      </c>
      <c r="J20" s="1">
        <v>500</v>
      </c>
      <c r="K20" s="1">
        <f t="shared" si="1"/>
        <v>49</v>
      </c>
      <c r="L20" s="1">
        <f t="shared" si="2"/>
        <v>-51</v>
      </c>
    </row>
    <row r="21" spans="1:12" x14ac:dyDescent="0.25">
      <c r="A21" s="1" t="s">
        <v>31</v>
      </c>
      <c r="B21" s="1" t="s">
        <v>79</v>
      </c>
      <c r="C21" s="1" t="s">
        <v>128</v>
      </c>
      <c r="D21" s="1">
        <v>69</v>
      </c>
      <c r="E21" s="1">
        <v>69</v>
      </c>
      <c r="F21" s="1">
        <v>69</v>
      </c>
      <c r="G21" s="1">
        <v>69</v>
      </c>
      <c r="H21" s="1">
        <v>69</v>
      </c>
      <c r="I21" s="1">
        <f t="shared" si="0"/>
        <v>345</v>
      </c>
      <c r="J21" s="1">
        <v>500</v>
      </c>
      <c r="K21" s="1">
        <f t="shared" si="1"/>
        <v>69</v>
      </c>
      <c r="L21" s="1">
        <f t="shared" si="2"/>
        <v>-31</v>
      </c>
    </row>
    <row r="22" spans="1:12" x14ac:dyDescent="0.25">
      <c r="A22" s="1" t="s">
        <v>32</v>
      </c>
      <c r="B22" s="1" t="s">
        <v>80</v>
      </c>
      <c r="C22" s="1" t="s">
        <v>129</v>
      </c>
      <c r="D22" s="1">
        <v>59</v>
      </c>
      <c r="E22" s="1">
        <v>59</v>
      </c>
      <c r="F22" s="1">
        <v>59</v>
      </c>
      <c r="G22" s="1">
        <v>59</v>
      </c>
      <c r="H22" s="1">
        <v>59</v>
      </c>
      <c r="I22" s="1">
        <f t="shared" si="0"/>
        <v>295</v>
      </c>
      <c r="J22" s="1">
        <v>500</v>
      </c>
      <c r="K22" s="1">
        <f t="shared" si="1"/>
        <v>59</v>
      </c>
      <c r="L22" s="1">
        <f t="shared" si="2"/>
        <v>-41</v>
      </c>
    </row>
    <row r="23" spans="1:12" x14ac:dyDescent="0.25">
      <c r="A23" s="1" t="s">
        <v>33</v>
      </c>
      <c r="B23" s="1" t="s">
        <v>81</v>
      </c>
      <c r="C23" s="1" t="s">
        <v>130</v>
      </c>
      <c r="D23" s="1">
        <v>68</v>
      </c>
      <c r="E23" s="1">
        <v>68</v>
      </c>
      <c r="F23" s="1">
        <v>68</v>
      </c>
      <c r="G23" s="1">
        <v>68</v>
      </c>
      <c r="H23" s="1">
        <v>68</v>
      </c>
      <c r="I23" s="1">
        <f t="shared" si="0"/>
        <v>340</v>
      </c>
      <c r="J23" s="1">
        <v>500</v>
      </c>
      <c r="K23" s="1">
        <f t="shared" si="1"/>
        <v>68</v>
      </c>
      <c r="L23" s="1">
        <f t="shared" si="2"/>
        <v>-32</v>
      </c>
    </row>
    <row r="24" spans="1:12" x14ac:dyDescent="0.25">
      <c r="A24" s="1" t="s">
        <v>34</v>
      </c>
      <c r="B24" s="1" t="s">
        <v>82</v>
      </c>
      <c r="C24" s="1" t="s">
        <v>131</v>
      </c>
      <c r="D24" s="1">
        <v>95</v>
      </c>
      <c r="E24" s="1">
        <v>95</v>
      </c>
      <c r="F24" s="1">
        <v>95</v>
      </c>
      <c r="G24" s="1">
        <v>95</v>
      </c>
      <c r="H24" s="1">
        <v>95</v>
      </c>
      <c r="I24" s="1">
        <f t="shared" si="0"/>
        <v>475</v>
      </c>
      <c r="J24" s="1">
        <v>500</v>
      </c>
      <c r="K24" s="1">
        <f t="shared" si="1"/>
        <v>95</v>
      </c>
      <c r="L24" s="1">
        <f t="shared" si="2"/>
        <v>-5</v>
      </c>
    </row>
    <row r="25" spans="1:12" x14ac:dyDescent="0.25">
      <c r="A25" s="1" t="s">
        <v>35</v>
      </c>
      <c r="B25" s="1" t="s">
        <v>83</v>
      </c>
      <c r="C25" s="1" t="s">
        <v>132</v>
      </c>
      <c r="D25" s="1">
        <v>35</v>
      </c>
      <c r="E25" s="1">
        <v>35</v>
      </c>
      <c r="F25" s="1">
        <v>35</v>
      </c>
      <c r="G25" s="1">
        <v>35</v>
      </c>
      <c r="H25" s="1">
        <v>35</v>
      </c>
      <c r="I25" s="1">
        <f t="shared" si="0"/>
        <v>175</v>
      </c>
      <c r="J25" s="1">
        <v>500</v>
      </c>
      <c r="K25" s="1">
        <f t="shared" si="1"/>
        <v>35</v>
      </c>
      <c r="L25" s="1">
        <f t="shared" si="2"/>
        <v>-65</v>
      </c>
    </row>
    <row r="26" spans="1:12" x14ac:dyDescent="0.25">
      <c r="A26" s="1" t="s">
        <v>36</v>
      </c>
      <c r="B26" s="1" t="s">
        <v>84</v>
      </c>
      <c r="C26" s="1" t="s">
        <v>133</v>
      </c>
      <c r="D26" s="1">
        <v>29</v>
      </c>
      <c r="E26" s="1">
        <v>29</v>
      </c>
      <c r="F26" s="1">
        <v>29</v>
      </c>
      <c r="G26" s="1">
        <v>29</v>
      </c>
      <c r="H26" s="1">
        <v>29</v>
      </c>
      <c r="I26" s="1">
        <f t="shared" si="0"/>
        <v>145</v>
      </c>
      <c r="J26" s="1">
        <v>500</v>
      </c>
      <c r="K26" s="1">
        <f t="shared" si="1"/>
        <v>28.999999999999996</v>
      </c>
      <c r="L26" s="1">
        <f t="shared" si="2"/>
        <v>-71</v>
      </c>
    </row>
    <row r="27" spans="1:12" x14ac:dyDescent="0.25">
      <c r="A27" s="1" t="s">
        <v>37</v>
      </c>
      <c r="B27" s="1" t="s">
        <v>85</v>
      </c>
      <c r="C27" s="1" t="s">
        <v>134</v>
      </c>
      <c r="D27" s="1">
        <v>38</v>
      </c>
      <c r="E27" s="1">
        <v>38</v>
      </c>
      <c r="F27" s="1">
        <v>38</v>
      </c>
      <c r="G27" s="1">
        <v>38</v>
      </c>
      <c r="H27" s="1">
        <v>38</v>
      </c>
      <c r="I27" s="1">
        <f t="shared" si="0"/>
        <v>190</v>
      </c>
      <c r="J27" s="1">
        <v>500</v>
      </c>
      <c r="K27" s="1">
        <f t="shared" si="1"/>
        <v>38</v>
      </c>
      <c r="L27" s="1">
        <f t="shared" si="2"/>
        <v>-62</v>
      </c>
    </row>
    <row r="28" spans="1:12" x14ac:dyDescent="0.25">
      <c r="A28" s="1" t="s">
        <v>38</v>
      </c>
      <c r="B28" s="1" t="s">
        <v>86</v>
      </c>
      <c r="C28" s="1" t="s">
        <v>135</v>
      </c>
      <c r="D28" s="1">
        <v>59</v>
      </c>
      <c r="E28" s="1">
        <v>59</v>
      </c>
      <c r="F28" s="1">
        <v>59</v>
      </c>
      <c r="G28" s="1">
        <v>59</v>
      </c>
      <c r="H28" s="1">
        <v>59</v>
      </c>
      <c r="I28" s="1">
        <f t="shared" si="0"/>
        <v>295</v>
      </c>
      <c r="J28" s="1">
        <v>500</v>
      </c>
      <c r="K28" s="1">
        <f t="shared" si="1"/>
        <v>59</v>
      </c>
      <c r="L28" s="1">
        <f t="shared" si="2"/>
        <v>-41</v>
      </c>
    </row>
    <row r="29" spans="1:12" x14ac:dyDescent="0.25">
      <c r="A29" s="1" t="s">
        <v>39</v>
      </c>
      <c r="B29" s="1" t="s">
        <v>87</v>
      </c>
      <c r="C29" s="1" t="s">
        <v>136</v>
      </c>
      <c r="D29" s="1">
        <v>57</v>
      </c>
      <c r="E29" s="1">
        <v>57</v>
      </c>
      <c r="F29" s="1">
        <v>57</v>
      </c>
      <c r="G29" s="1">
        <v>57</v>
      </c>
      <c r="H29" s="1">
        <v>57</v>
      </c>
      <c r="I29" s="1">
        <f t="shared" si="0"/>
        <v>285</v>
      </c>
      <c r="J29" s="1">
        <v>500</v>
      </c>
      <c r="K29" s="1">
        <f t="shared" si="1"/>
        <v>56.999999999999993</v>
      </c>
      <c r="L29" s="1">
        <f t="shared" si="2"/>
        <v>-43.000000000000007</v>
      </c>
    </row>
    <row r="30" spans="1:12" x14ac:dyDescent="0.25">
      <c r="A30" s="1" t="s">
        <v>40</v>
      </c>
      <c r="B30" s="1" t="s">
        <v>88</v>
      </c>
      <c r="C30" s="1" t="s">
        <v>137</v>
      </c>
      <c r="D30" s="1">
        <v>68</v>
      </c>
      <c r="E30" s="1">
        <v>68</v>
      </c>
      <c r="F30" s="1">
        <v>68</v>
      </c>
      <c r="G30" s="1">
        <v>68</v>
      </c>
      <c r="H30" s="1">
        <v>68</v>
      </c>
      <c r="I30" s="1">
        <f t="shared" si="0"/>
        <v>340</v>
      </c>
      <c r="J30" s="1">
        <v>500</v>
      </c>
      <c r="K30" s="1">
        <f t="shared" si="1"/>
        <v>68</v>
      </c>
      <c r="L30" s="1">
        <f t="shared" si="2"/>
        <v>-32</v>
      </c>
    </row>
    <row r="31" spans="1:12" x14ac:dyDescent="0.25">
      <c r="A31" s="1" t="s">
        <v>41</v>
      </c>
      <c r="B31" s="1" t="s">
        <v>89</v>
      </c>
      <c r="C31" s="1" t="s">
        <v>138</v>
      </c>
      <c r="D31" s="1">
        <v>59</v>
      </c>
      <c r="E31" s="1">
        <v>59</v>
      </c>
      <c r="F31" s="1">
        <v>59</v>
      </c>
      <c r="G31" s="1">
        <v>59</v>
      </c>
      <c r="H31" s="1">
        <v>59</v>
      </c>
      <c r="I31" s="1">
        <f t="shared" si="0"/>
        <v>295</v>
      </c>
      <c r="J31" s="1">
        <v>500</v>
      </c>
      <c r="K31" s="1">
        <f t="shared" si="1"/>
        <v>59</v>
      </c>
      <c r="L31" s="1">
        <f t="shared" si="2"/>
        <v>-41</v>
      </c>
    </row>
    <row r="32" spans="1:12" x14ac:dyDescent="0.25">
      <c r="A32" s="1" t="s">
        <v>42</v>
      </c>
      <c r="B32" s="1" t="s">
        <v>90</v>
      </c>
      <c r="C32" s="1" t="s">
        <v>139</v>
      </c>
      <c r="D32" s="1">
        <v>94</v>
      </c>
      <c r="E32" s="1">
        <v>94</v>
      </c>
      <c r="F32" s="1">
        <v>94</v>
      </c>
      <c r="G32" s="1">
        <v>94</v>
      </c>
      <c r="H32" s="1">
        <v>94</v>
      </c>
      <c r="I32" s="1">
        <f t="shared" si="0"/>
        <v>470</v>
      </c>
      <c r="J32" s="1">
        <v>500</v>
      </c>
      <c r="K32" s="1">
        <f t="shared" si="1"/>
        <v>94</v>
      </c>
      <c r="L32" s="1">
        <f t="shared" si="2"/>
        <v>-6</v>
      </c>
    </row>
    <row r="33" spans="1:12" x14ac:dyDescent="0.25">
      <c r="A33" s="1" t="s">
        <v>43</v>
      </c>
      <c r="B33" s="1" t="s">
        <v>91</v>
      </c>
      <c r="C33" s="1" t="s">
        <v>140</v>
      </c>
      <c r="D33" s="1">
        <v>93</v>
      </c>
      <c r="E33" s="1">
        <v>93</v>
      </c>
      <c r="F33" s="1">
        <v>93</v>
      </c>
      <c r="G33" s="1">
        <v>93</v>
      </c>
      <c r="H33" s="1">
        <v>93</v>
      </c>
      <c r="I33" s="1">
        <f t="shared" si="0"/>
        <v>465</v>
      </c>
      <c r="J33" s="1">
        <v>500</v>
      </c>
      <c r="K33" s="1">
        <f t="shared" si="1"/>
        <v>93</v>
      </c>
      <c r="L33" s="1">
        <f t="shared" si="2"/>
        <v>-7</v>
      </c>
    </row>
    <row r="34" spans="1:12" x14ac:dyDescent="0.25">
      <c r="A34" s="1" t="s">
        <v>44</v>
      </c>
      <c r="B34" s="1" t="s">
        <v>92</v>
      </c>
      <c r="C34" s="1" t="s">
        <v>141</v>
      </c>
      <c r="D34" s="1">
        <v>91</v>
      </c>
      <c r="E34" s="1">
        <v>91</v>
      </c>
      <c r="F34" s="1">
        <v>91</v>
      </c>
      <c r="G34" s="1">
        <v>91</v>
      </c>
      <c r="H34" s="1">
        <v>91</v>
      </c>
      <c r="I34" s="1">
        <f t="shared" si="0"/>
        <v>455</v>
      </c>
      <c r="J34" s="1">
        <v>500</v>
      </c>
      <c r="K34" s="1">
        <f t="shared" si="1"/>
        <v>91</v>
      </c>
      <c r="L34" s="1">
        <f t="shared" si="2"/>
        <v>-9</v>
      </c>
    </row>
    <row r="35" spans="1:12" x14ac:dyDescent="0.25">
      <c r="A35" s="1" t="s">
        <v>45</v>
      </c>
      <c r="B35" s="1" t="s">
        <v>93</v>
      </c>
      <c r="C35" s="1" t="s">
        <v>142</v>
      </c>
      <c r="D35" s="1">
        <v>81</v>
      </c>
      <c r="E35" s="1">
        <v>81</v>
      </c>
      <c r="F35" s="1">
        <v>81</v>
      </c>
      <c r="G35" s="1">
        <v>81</v>
      </c>
      <c r="H35" s="1">
        <v>81</v>
      </c>
      <c r="I35" s="1">
        <f t="shared" si="0"/>
        <v>405</v>
      </c>
      <c r="J35" s="1">
        <v>500</v>
      </c>
      <c r="K35" s="1">
        <f t="shared" si="1"/>
        <v>81</v>
      </c>
      <c r="L35" s="1">
        <f t="shared" si="2"/>
        <v>-19</v>
      </c>
    </row>
    <row r="36" spans="1:12" x14ac:dyDescent="0.25">
      <c r="A36" s="1" t="s">
        <v>46</v>
      </c>
      <c r="B36" s="1" t="s">
        <v>94</v>
      </c>
      <c r="C36" s="1" t="s">
        <v>143</v>
      </c>
      <c r="D36" s="1">
        <v>73</v>
      </c>
      <c r="E36" s="1">
        <v>73</v>
      </c>
      <c r="F36" s="1">
        <v>73</v>
      </c>
      <c r="G36" s="1">
        <v>73</v>
      </c>
      <c r="H36" s="1">
        <v>73</v>
      </c>
      <c r="I36" s="1">
        <f t="shared" si="0"/>
        <v>365</v>
      </c>
      <c r="J36" s="1">
        <v>500</v>
      </c>
      <c r="K36" s="1">
        <f t="shared" si="1"/>
        <v>73</v>
      </c>
      <c r="L36" s="1">
        <f t="shared" si="2"/>
        <v>-27</v>
      </c>
    </row>
    <row r="37" spans="1:12" x14ac:dyDescent="0.25">
      <c r="A37" s="1" t="s">
        <v>47</v>
      </c>
      <c r="B37" s="1" t="s">
        <v>95</v>
      </c>
      <c r="C37" s="1" t="s">
        <v>144</v>
      </c>
      <c r="D37" s="1">
        <v>87</v>
      </c>
      <c r="E37" s="1">
        <v>87</v>
      </c>
      <c r="F37" s="1">
        <v>87</v>
      </c>
      <c r="G37" s="1">
        <v>87</v>
      </c>
      <c r="H37" s="1">
        <v>87</v>
      </c>
      <c r="I37" s="1">
        <f t="shared" si="0"/>
        <v>435</v>
      </c>
      <c r="J37" s="1">
        <v>500</v>
      </c>
      <c r="K37" s="1">
        <f t="shared" si="1"/>
        <v>87</v>
      </c>
      <c r="L37" s="1">
        <f t="shared" si="2"/>
        <v>-13</v>
      </c>
    </row>
    <row r="38" spans="1:12" x14ac:dyDescent="0.25">
      <c r="A38" s="1" t="s">
        <v>48</v>
      </c>
      <c r="B38" s="1" t="s">
        <v>96</v>
      </c>
      <c r="C38" s="1" t="s">
        <v>145</v>
      </c>
      <c r="D38" s="1">
        <v>75</v>
      </c>
      <c r="E38" s="1">
        <v>75</v>
      </c>
      <c r="F38" s="1">
        <v>75</v>
      </c>
      <c r="G38" s="1">
        <v>75</v>
      </c>
      <c r="H38" s="1">
        <v>75</v>
      </c>
      <c r="I38" s="1">
        <f t="shared" si="0"/>
        <v>375</v>
      </c>
      <c r="J38" s="1">
        <v>500</v>
      </c>
      <c r="K38" s="1">
        <f t="shared" si="1"/>
        <v>75</v>
      </c>
      <c r="L38" s="1">
        <f t="shared" si="2"/>
        <v>-25</v>
      </c>
    </row>
    <row r="39" spans="1:12" x14ac:dyDescent="0.25">
      <c r="A39" s="1" t="s">
        <v>49</v>
      </c>
      <c r="B39" s="1" t="s">
        <v>97</v>
      </c>
      <c r="C39" s="1" t="s">
        <v>146</v>
      </c>
      <c r="D39" s="1">
        <v>56</v>
      </c>
      <c r="E39" s="1">
        <v>56</v>
      </c>
      <c r="F39" s="1">
        <v>56</v>
      </c>
      <c r="G39" s="1">
        <v>56</v>
      </c>
      <c r="H39" s="1">
        <v>56</v>
      </c>
      <c r="I39" s="1">
        <f t="shared" si="0"/>
        <v>280</v>
      </c>
      <c r="J39" s="1">
        <v>500</v>
      </c>
      <c r="K39" s="1">
        <f t="shared" si="1"/>
        <v>56.000000000000007</v>
      </c>
      <c r="L39" s="1">
        <f t="shared" si="2"/>
        <v>-43.999999999999993</v>
      </c>
    </row>
    <row r="40" spans="1:12" x14ac:dyDescent="0.25">
      <c r="A40" s="1" t="s">
        <v>50</v>
      </c>
      <c r="B40" s="1" t="s">
        <v>98</v>
      </c>
      <c r="C40" s="1" t="s">
        <v>147</v>
      </c>
      <c r="D40" s="1">
        <v>36</v>
      </c>
      <c r="E40" s="1">
        <v>36</v>
      </c>
      <c r="F40" s="1">
        <v>36</v>
      </c>
      <c r="G40" s="1">
        <v>36</v>
      </c>
      <c r="H40" s="1">
        <v>36</v>
      </c>
      <c r="I40" s="1">
        <f t="shared" si="0"/>
        <v>180</v>
      </c>
      <c r="J40" s="1">
        <v>500</v>
      </c>
      <c r="K40" s="1">
        <f t="shared" si="1"/>
        <v>36</v>
      </c>
      <c r="L40" s="1">
        <f t="shared" si="2"/>
        <v>-64</v>
      </c>
    </row>
    <row r="41" spans="1:12" x14ac:dyDescent="0.25">
      <c r="A41" s="1" t="s">
        <v>51</v>
      </c>
      <c r="B41" s="1" t="s">
        <v>99</v>
      </c>
      <c r="C41" s="1" t="s">
        <v>148</v>
      </c>
      <c r="D41" s="1">
        <v>54</v>
      </c>
      <c r="E41" s="1">
        <v>54</v>
      </c>
      <c r="F41" s="1">
        <v>54</v>
      </c>
      <c r="G41" s="1">
        <v>54</v>
      </c>
      <c r="H41" s="1">
        <v>54</v>
      </c>
      <c r="I41" s="1">
        <f t="shared" si="0"/>
        <v>270</v>
      </c>
      <c r="J41" s="1">
        <v>500</v>
      </c>
      <c r="K41" s="1">
        <f t="shared" si="1"/>
        <v>54</v>
      </c>
      <c r="L41" s="1">
        <f t="shared" si="2"/>
        <v>-46</v>
      </c>
    </row>
    <row r="42" spans="1:12" x14ac:dyDescent="0.25">
      <c r="A42" s="1" t="s">
        <v>52</v>
      </c>
      <c r="B42" s="1" t="s">
        <v>100</v>
      </c>
      <c r="C42" s="1" t="s">
        <v>149</v>
      </c>
      <c r="D42" s="1">
        <v>58</v>
      </c>
      <c r="E42" s="1">
        <v>58</v>
      </c>
      <c r="F42" s="1">
        <v>58</v>
      </c>
      <c r="G42" s="1">
        <v>58</v>
      </c>
      <c r="H42" s="1">
        <v>58</v>
      </c>
      <c r="I42" s="1">
        <f t="shared" si="0"/>
        <v>290</v>
      </c>
      <c r="J42" s="1">
        <v>500</v>
      </c>
      <c r="K42" s="1">
        <f t="shared" si="1"/>
        <v>57.999999999999993</v>
      </c>
      <c r="L42" s="1">
        <f t="shared" si="2"/>
        <v>-42.000000000000007</v>
      </c>
    </row>
    <row r="43" spans="1:12" x14ac:dyDescent="0.25">
      <c r="A43" s="1" t="s">
        <v>53</v>
      </c>
      <c r="B43" s="1" t="s">
        <v>101</v>
      </c>
      <c r="C43" s="1" t="s">
        <v>150</v>
      </c>
      <c r="D43" s="1">
        <v>69</v>
      </c>
      <c r="E43" s="1">
        <v>69</v>
      </c>
      <c r="F43" s="1">
        <v>69</v>
      </c>
      <c r="G43" s="1">
        <v>69</v>
      </c>
      <c r="H43" s="1">
        <v>69</v>
      </c>
      <c r="I43" s="1">
        <f t="shared" si="0"/>
        <v>345</v>
      </c>
      <c r="J43" s="1">
        <v>500</v>
      </c>
      <c r="K43" s="1">
        <f t="shared" si="1"/>
        <v>69</v>
      </c>
      <c r="L43" s="1">
        <f t="shared" si="2"/>
        <v>-31</v>
      </c>
    </row>
    <row r="44" spans="1:12" x14ac:dyDescent="0.25">
      <c r="A44" s="1" t="s">
        <v>54</v>
      </c>
      <c r="B44" s="1" t="s">
        <v>102</v>
      </c>
      <c r="C44" s="1" t="s">
        <v>151</v>
      </c>
      <c r="D44" s="1">
        <v>39</v>
      </c>
      <c r="E44" s="1">
        <v>39</v>
      </c>
      <c r="F44" s="1">
        <v>39</v>
      </c>
      <c r="G44" s="1">
        <v>39</v>
      </c>
      <c r="H44" s="1">
        <v>39</v>
      </c>
      <c r="I44" s="1">
        <f t="shared" si="0"/>
        <v>195</v>
      </c>
      <c r="J44" s="1">
        <v>500</v>
      </c>
      <c r="K44" s="1">
        <f t="shared" si="1"/>
        <v>39</v>
      </c>
      <c r="L44" s="1">
        <f t="shared" si="2"/>
        <v>-61</v>
      </c>
    </row>
    <row r="45" spans="1:12" x14ac:dyDescent="0.25">
      <c r="A45" s="1" t="s">
        <v>55</v>
      </c>
      <c r="B45" s="1" t="s">
        <v>103</v>
      </c>
      <c r="C45" s="1" t="s">
        <v>152</v>
      </c>
      <c r="D45" s="1">
        <v>78</v>
      </c>
      <c r="E45" s="1">
        <v>78</v>
      </c>
      <c r="F45" s="1">
        <v>78</v>
      </c>
      <c r="G45" s="1">
        <v>78</v>
      </c>
      <c r="H45" s="1">
        <v>78</v>
      </c>
      <c r="I45" s="1">
        <f t="shared" si="0"/>
        <v>390</v>
      </c>
      <c r="J45" s="1">
        <v>500</v>
      </c>
      <c r="K45" s="1">
        <f t="shared" si="1"/>
        <v>78</v>
      </c>
      <c r="L45" s="1">
        <f t="shared" si="2"/>
        <v>-22</v>
      </c>
    </row>
    <row r="46" spans="1:12" x14ac:dyDescent="0.25">
      <c r="A46" s="1" t="s">
        <v>56</v>
      </c>
      <c r="B46" s="1" t="s">
        <v>104</v>
      </c>
      <c r="C46" s="1" t="s">
        <v>153</v>
      </c>
      <c r="D46" s="1">
        <v>79</v>
      </c>
      <c r="E46" s="1">
        <v>79</v>
      </c>
      <c r="F46" s="1">
        <v>79</v>
      </c>
      <c r="G46" s="1">
        <v>79</v>
      </c>
      <c r="H46" s="1">
        <v>79</v>
      </c>
      <c r="I46" s="1">
        <f t="shared" si="0"/>
        <v>395</v>
      </c>
      <c r="J46" s="1">
        <v>500</v>
      </c>
      <c r="K46" s="1">
        <f t="shared" si="1"/>
        <v>79</v>
      </c>
      <c r="L46" s="1">
        <f t="shared" si="2"/>
        <v>-21</v>
      </c>
    </row>
    <row r="47" spans="1:12" x14ac:dyDescent="0.25">
      <c r="A47" s="1" t="s">
        <v>57</v>
      </c>
      <c r="B47" s="1" t="s">
        <v>105</v>
      </c>
      <c r="C47" s="1" t="s">
        <v>154</v>
      </c>
      <c r="D47" s="1">
        <v>67</v>
      </c>
      <c r="E47" s="1">
        <v>67</v>
      </c>
      <c r="F47" s="1">
        <v>67</v>
      </c>
      <c r="G47" s="1">
        <v>67</v>
      </c>
      <c r="H47" s="1">
        <v>67</v>
      </c>
      <c r="I47" s="1">
        <f t="shared" si="0"/>
        <v>335</v>
      </c>
      <c r="J47" s="1">
        <v>500</v>
      </c>
      <c r="K47" s="1">
        <f t="shared" si="1"/>
        <v>67</v>
      </c>
      <c r="L47" s="1">
        <f t="shared" si="2"/>
        <v>-33</v>
      </c>
    </row>
    <row r="48" spans="1:12" x14ac:dyDescent="0.25">
      <c r="A48" s="1" t="s">
        <v>58</v>
      </c>
      <c r="B48" s="1" t="s">
        <v>106</v>
      </c>
      <c r="C48" s="1" t="s">
        <v>155</v>
      </c>
      <c r="D48" s="1">
        <v>88</v>
      </c>
      <c r="E48" s="1">
        <v>88</v>
      </c>
      <c r="F48" s="1">
        <v>88</v>
      </c>
      <c r="G48" s="1">
        <v>88</v>
      </c>
      <c r="H48" s="1">
        <v>88</v>
      </c>
      <c r="I48" s="1">
        <f t="shared" si="0"/>
        <v>440</v>
      </c>
      <c r="J48" s="1">
        <v>500</v>
      </c>
      <c r="K48" s="1">
        <f t="shared" si="1"/>
        <v>88</v>
      </c>
      <c r="L48" s="1">
        <f t="shared" si="2"/>
        <v>-12</v>
      </c>
    </row>
    <row r="49" spans="1:12" x14ac:dyDescent="0.25">
      <c r="A49" s="1" t="s">
        <v>59</v>
      </c>
      <c r="B49" s="1" t="s">
        <v>107</v>
      </c>
      <c r="C49" s="1" t="s">
        <v>156</v>
      </c>
      <c r="D49" s="1">
        <v>80</v>
      </c>
      <c r="E49" s="1">
        <v>80</v>
      </c>
      <c r="F49" s="1">
        <v>80</v>
      </c>
      <c r="G49" s="1">
        <v>80</v>
      </c>
      <c r="H49" s="1">
        <v>80</v>
      </c>
      <c r="I49" s="1">
        <f t="shared" si="0"/>
        <v>400</v>
      </c>
      <c r="J49" s="1">
        <v>500</v>
      </c>
      <c r="K49" s="1">
        <f t="shared" si="1"/>
        <v>80</v>
      </c>
      <c r="L49" s="1">
        <f t="shared" si="2"/>
        <v>-20</v>
      </c>
    </row>
    <row r="50" spans="1:12" x14ac:dyDescent="0.25">
      <c r="A50" s="1" t="s">
        <v>60</v>
      </c>
      <c r="B50" s="1" t="s">
        <v>108</v>
      </c>
      <c r="C50" s="1" t="s">
        <v>157</v>
      </c>
      <c r="D50" s="1">
        <v>89</v>
      </c>
      <c r="E50" s="1">
        <v>89</v>
      </c>
      <c r="F50" s="1">
        <v>89</v>
      </c>
      <c r="G50" s="1">
        <v>89</v>
      </c>
      <c r="H50" s="1">
        <v>89</v>
      </c>
      <c r="I50" s="1">
        <f t="shared" si="0"/>
        <v>445</v>
      </c>
      <c r="J50" s="1">
        <v>500</v>
      </c>
      <c r="K50" s="1">
        <f t="shared" si="1"/>
        <v>89</v>
      </c>
      <c r="L50" s="1">
        <f t="shared" si="2"/>
        <v>-11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DASHBORAD</vt:lpstr>
      <vt:lpstr>RAW DATA</vt:lpstr>
    </vt:vector>
  </TitlesOfParts>
  <Company>MRT www.Win2Farsi.com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Moorche</dc:creator>
  <cp:lastModifiedBy>Moorche</cp:lastModifiedBy>
  <dcterms:created xsi:type="dcterms:W3CDTF">2026-01-03T13:38:32Z</dcterms:created>
  <dcterms:modified xsi:type="dcterms:W3CDTF">2026-01-03T18:23:00Z</dcterms:modified>
</cp:coreProperties>
</file>